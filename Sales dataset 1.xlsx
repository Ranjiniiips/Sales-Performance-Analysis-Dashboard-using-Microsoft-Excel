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slicerCaches/slicerCache4.xml" ContentType="application/vnd.ms-excel.slicerCache+xml"/>
  <Override PartName="/xl/slicerCaches/slicerCache5.xml" ContentType="application/vnd.ms-excel.slicerCache+xml"/>
  <Override PartName="/xl/slicerCaches/slicerCache6.xml" ContentType="application/vnd.ms-excel.slicerCache+xml"/>
  <Override PartName="/xl/slicerCaches/slicerCache7.xml" ContentType="application/vnd.ms-excel.slicerCache+xml"/>
  <Override PartName="/xl/slicerCaches/slicerCache8.xml" ContentType="application/vnd.ms-excel.slicerCache+xml"/>
  <Override PartName="/xl/slicerCaches/slicerCache9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slicers/slicer1.xml" ContentType="application/vnd.ms-excel.slicer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tables/table1.xml" ContentType="application/vnd.openxmlformats-officedocument.spreadsheetml.table+xml"/>
  <Override PartName="/xl/pivotTables/pivotTable4.xml" ContentType="application/vnd.openxmlformats-officedocument.spreadsheetml.pivotTab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featurePropertyBag/featurePropertyBag.xml" ContentType="application/vnd.ms-excel.featurepropertybag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17"/>
  <workbookPr hidePivotFieldList="1"/>
  <xr:revisionPtr revIDLastSave="407" documentId="11_0B1D56BE9CDCCE836B02CE7A5FB0D4A9BBFD1C62" xr6:coauthVersionLast="47" xr6:coauthVersionMax="47" xr10:uidLastSave="{2303C78A-0E0E-4523-8097-4AA9814FBB71}"/>
  <bookViews>
    <workbookView xWindow="240" yWindow="105" windowWidth="14805" windowHeight="8010" firstSheet="6" activeTab="1" xr2:uid="{00000000-000D-0000-FFFF-FFFF00000000}"/>
  </bookViews>
  <sheets>
    <sheet name="Sales by salespaerson" sheetId="2" r:id="rId1"/>
    <sheet name="Sales by Region" sheetId="3" r:id="rId2"/>
    <sheet name="Sales by Product" sheetId="4" r:id="rId3"/>
    <sheet name="Detail1" sheetId="6" r:id="rId4"/>
    <sheet name="Quantity by product" sheetId="5" r:id="rId5"/>
    <sheet name="Dashboard" sheetId="7" r:id="rId6"/>
    <sheet name="Form1" sheetId="8" r:id="rId7"/>
    <sheet name="Sales dataset" sheetId="1" r:id="rId8"/>
  </sheets>
  <definedNames>
    <definedName name="Slicer_Category">#N/A</definedName>
    <definedName name="Slicer_Date">#N/A</definedName>
    <definedName name="Slicer_Order__ID">#N/A</definedName>
    <definedName name="Slicer_Product">#N/A</definedName>
    <definedName name="Slicer_Quantity">#N/A</definedName>
    <definedName name="Slicer_Region">#N/A</definedName>
    <definedName name="Slicer_Salesperson">#N/A</definedName>
    <definedName name="Slicer_Total_Sales">#N/A</definedName>
    <definedName name="Slicer_Unit_Price">#N/A</definedName>
  </definedNames>
  <calcPr calcId="191028"/>
  <pivotCaches>
    <pivotCache cacheId="146" r:id="rId9"/>
  </pivotCaches>
  <extLst>
    <ext xmlns:x14="http://schemas.microsoft.com/office/spreadsheetml/2009/9/main" uri="{BBE1A952-AA13-448e-AADC-164F8A28A991}">
      <x14:slicerCaches>
        <x14:slicerCache r:id="rId10"/>
        <x14:slicerCache r:id="rId11"/>
        <x14:slicerCache r:id="rId12"/>
        <x14:slicerCache r:id="rId13"/>
        <x14:slicerCache r:id="rId14"/>
        <x14:slicerCache r:id="rId15"/>
        <x14:slicerCache r:id="rId16"/>
        <x14:slicerCache r:id="rId17"/>
        <x14:slicerCache r:id="rId18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3" i="7" l="1"/>
  <c r="C3" i="7"/>
  <c r="D3" i="7"/>
  <c r="E3" i="7"/>
  <c r="A23" i="6"/>
  <c r="A22" i="6"/>
  <c r="A21" i="6"/>
  <c r="A20" i="6"/>
  <c r="A19" i="6"/>
  <c r="P15" i="6"/>
  <c r="P14" i="6"/>
  <c r="P13" i="6"/>
  <c r="P12" i="6"/>
  <c r="P11" i="6"/>
  <c r="P10" i="6"/>
  <c r="P9" i="6"/>
  <c r="P8" i="6"/>
  <c r="P7" i="6"/>
  <c r="P6" i="6"/>
  <c r="P5" i="6"/>
  <c r="P4" i="6"/>
  <c r="O15" i="6"/>
  <c r="O14" i="6"/>
  <c r="O13" i="6"/>
  <c r="O12" i="6"/>
  <c r="O11" i="6"/>
  <c r="O10" i="6"/>
  <c r="O9" i="6"/>
  <c r="O8" i="6"/>
  <c r="O7" i="6"/>
  <c r="O6" i="6"/>
  <c r="O5" i="6"/>
  <c r="O4" i="6"/>
  <c r="N15" i="6"/>
  <c r="N14" i="6"/>
  <c r="N13" i="6"/>
  <c r="N12" i="6"/>
  <c r="N11" i="6"/>
  <c r="N10" i="6"/>
  <c r="N9" i="6"/>
  <c r="N8" i="6"/>
  <c r="N7" i="6"/>
  <c r="N6" i="6"/>
  <c r="N5" i="6"/>
  <c r="M15" i="6"/>
  <c r="M14" i="6"/>
  <c r="M13" i="6"/>
  <c r="M12" i="6"/>
  <c r="M11" i="6"/>
  <c r="M10" i="6"/>
  <c r="M9" i="6"/>
  <c r="M8" i="6"/>
  <c r="M7" i="6"/>
  <c r="M6" i="6"/>
  <c r="M5" i="6"/>
  <c r="M4" i="6"/>
  <c r="L15" i="6"/>
  <c r="L14" i="6"/>
  <c r="L13" i="6"/>
  <c r="L12" i="6"/>
  <c r="L11" i="6"/>
  <c r="L10" i="6"/>
  <c r="L9" i="6"/>
  <c r="L8" i="6"/>
  <c r="L7" i="6"/>
  <c r="L6" i="6"/>
  <c r="L5" i="6"/>
  <c r="L4" i="6"/>
  <c r="K4" i="6" a="1"/>
  <c r="K4" i="6"/>
  <c r="K5" i="6" a="1"/>
  <c r="K5" i="6"/>
  <c r="K6" i="6" a="1"/>
  <c r="K6" i="6"/>
  <c r="K7" i="6" a="1"/>
  <c r="K7" i="6"/>
  <c r="K8" i="6" a="1"/>
  <c r="K8" i="6"/>
  <c r="K9" i="6" a="1"/>
  <c r="K9" i="6"/>
  <c r="K10" i="6" a="1"/>
  <c r="K10" i="6"/>
  <c r="K11" i="6" a="1"/>
  <c r="K11" i="6"/>
  <c r="K12" i="6" a="1"/>
  <c r="K12" i="6"/>
  <c r="K13" i="6" a="1"/>
  <c r="K13" i="6"/>
  <c r="K14" i="6" a="1"/>
  <c r="K14" i="6"/>
  <c r="K15" i="6" a="1"/>
  <c r="K15" i="6"/>
  <c r="J15" i="6"/>
  <c r="J14" i="6"/>
  <c r="J13" i="6"/>
  <c r="J12" i="6"/>
  <c r="J11" i="6"/>
  <c r="J10" i="6"/>
  <c r="J9" i="6"/>
  <c r="J8" i="6"/>
  <c r="J7" i="6"/>
  <c r="J6" i="6"/>
  <c r="J5" i="6"/>
  <c r="J4" i="6"/>
  <c r="B17" i="6"/>
  <c r="A14" i="1"/>
  <c r="G14" i="1"/>
  <c r="G22" i="1"/>
  <c r="C22" i="1"/>
  <c r="C18" i="1"/>
  <c r="G18" i="1"/>
  <c r="I14" i="1"/>
  <c r="I17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<sst xmlns="http://schemas.openxmlformats.org/spreadsheetml/2006/main" count="212" uniqueCount="76">
  <si>
    <t>Salesperson</t>
  </si>
  <si>
    <t>Sum of Total_Sales</t>
  </si>
  <si>
    <t>Anu</t>
  </si>
  <si>
    <t>Kiran</t>
  </si>
  <si>
    <t>Priya</t>
  </si>
  <si>
    <t>Ravi</t>
  </si>
  <si>
    <t>Grand Total</t>
  </si>
  <si>
    <t>Region</t>
  </si>
  <si>
    <t>East</t>
  </si>
  <si>
    <t>North</t>
  </si>
  <si>
    <t>South</t>
  </si>
  <si>
    <t>West</t>
  </si>
  <si>
    <t>Product</t>
  </si>
  <si>
    <t>Headphones</t>
  </si>
  <si>
    <t>Keyboard</t>
  </si>
  <si>
    <t>Laptop</t>
  </si>
  <si>
    <t>Monitor</t>
  </si>
  <si>
    <t>Mouse</t>
  </si>
  <si>
    <t>Printer</t>
  </si>
  <si>
    <t>Details of calculations</t>
  </si>
  <si>
    <t>Order _ID</t>
  </si>
  <si>
    <t>Date</t>
  </si>
  <si>
    <t>Category</t>
  </si>
  <si>
    <t>Quantity</t>
  </si>
  <si>
    <t>Unit_Price</t>
  </si>
  <si>
    <t>Total_Sales</t>
  </si>
  <si>
    <t>IF</t>
  </si>
  <si>
    <t>IFS</t>
  </si>
  <si>
    <t xml:space="preserve"> Total sales</t>
  </si>
  <si>
    <t>Total Orders</t>
  </si>
  <si>
    <t>Total quantity</t>
  </si>
  <si>
    <t>Maximum Sale</t>
  </si>
  <si>
    <t>Minimum Sale</t>
  </si>
  <si>
    <t>O006</t>
  </si>
  <si>
    <t>Accessories</t>
  </si>
  <si>
    <t>O012</t>
  </si>
  <si>
    <t>28/01/2026</t>
  </si>
  <si>
    <t>O003</t>
  </si>
  <si>
    <t>O009</t>
  </si>
  <si>
    <t>20/01/2026</t>
  </si>
  <si>
    <t>O001</t>
  </si>
  <si>
    <t>Electronics</t>
  </si>
  <si>
    <t>O005</t>
  </si>
  <si>
    <t>O011</t>
  </si>
  <si>
    <t>25/01/2026</t>
  </si>
  <si>
    <t>O004</t>
  </si>
  <si>
    <t>O010</t>
  </si>
  <si>
    <t>23/01/2026</t>
  </si>
  <si>
    <t>O002</t>
  </si>
  <si>
    <t>O008</t>
  </si>
  <si>
    <t>18/01/2026</t>
  </si>
  <si>
    <t>O007</t>
  </si>
  <si>
    <t>15/01/2026</t>
  </si>
  <si>
    <t>Sum of Quantity</t>
  </si>
  <si>
    <t xml:space="preserve">Total Sales </t>
  </si>
  <si>
    <t xml:space="preserve">Total Orders </t>
  </si>
  <si>
    <t xml:space="preserve">Total Quantity </t>
  </si>
  <si>
    <t xml:space="preserve">Average Sales </t>
  </si>
  <si>
    <t xml:space="preserve">Sales by Salesperson </t>
  </si>
  <si>
    <t xml:space="preserve">Sales by Region </t>
  </si>
  <si>
    <t xml:space="preserve">Sales by Product </t>
  </si>
  <si>
    <r>
      <rPr>
        <b/>
        <sz val="11"/>
        <color rgb="FF000000"/>
        <rFont val="Aptos Narrow"/>
        <scheme val="minor"/>
      </rPr>
      <t>Sales by trend</t>
    </r>
    <r>
      <rPr>
        <sz val="11"/>
        <color rgb="FF000000"/>
        <rFont val="Aptos Narrow"/>
        <scheme val="minor"/>
      </rPr>
      <t xml:space="preserve"> </t>
    </r>
  </si>
  <si>
    <t>ID</t>
  </si>
  <si>
    <t>Start time</t>
  </si>
  <si>
    <t>Completion time</t>
  </si>
  <si>
    <t>Email</t>
  </si>
  <si>
    <t>Name</t>
  </si>
  <si>
    <t xml:space="preserve">priya </t>
  </si>
  <si>
    <t>25-6-26</t>
  </si>
  <si>
    <t>31-6-26</t>
  </si>
  <si>
    <t>priyam@gmail.com</t>
  </si>
  <si>
    <t>Order ID</t>
  </si>
  <si>
    <t>Total Orders :</t>
  </si>
  <si>
    <t>Sum of total sales :</t>
  </si>
  <si>
    <t>Total Quantity :</t>
  </si>
  <si>
    <t>Average of sales 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</si>
</sst>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6"/>
      <color rgb="FFFF0000"/>
      <name val="Aptos Narrow"/>
      <family val="2"/>
      <scheme val="minor"/>
    </font>
    <font>
      <sz val="16"/>
      <color rgb="FFFF0000"/>
      <name val="Aptos Narrow"/>
      <family val="2"/>
      <scheme val="minor"/>
    </font>
    <font>
      <sz val="18"/>
      <color theme="1"/>
      <name val="Aptos Narrow"/>
      <family val="2"/>
      <scheme val="minor"/>
    </font>
    <font>
      <b/>
      <sz val="20"/>
      <color rgb="FFFF0000"/>
      <name val="Aptos Narrow"/>
      <family val="2"/>
      <scheme val="minor"/>
    </font>
    <font>
      <b/>
      <sz val="16"/>
      <color rgb="FFFF0000"/>
      <name val="Aptos Narrow"/>
      <scheme val="minor"/>
    </font>
    <font>
      <sz val="20"/>
      <color rgb="FFFF0000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b/>
      <sz val="11"/>
      <color rgb="FF000000"/>
      <name val="Aptos Narrow"/>
      <scheme val="minor"/>
    </font>
    <font>
      <sz val="11"/>
      <color rgb="FF000000"/>
      <name val="Aptos Narrow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</borders>
  <cellStyleXfs count="2">
    <xf numFmtId="0" fontId="0" fillId="0" borderId="0"/>
    <xf numFmtId="0" fontId="8" fillId="0" borderId="0" applyNumberFormat="0" applyFill="0" applyBorder="0" applyAlignment="0" applyProtection="0"/>
  </cellStyleXfs>
  <cellXfs count="24">
    <xf numFmtId="0" fontId="0" fillId="0" borderId="0" xfId="0"/>
    <xf numFmtId="0" fontId="1" fillId="0" borderId="0" xfId="0" applyFont="1"/>
    <xf numFmtId="14" fontId="0" fillId="0" borderId="0" xfId="0" applyNumberFormat="1"/>
    <xf numFmtId="0" fontId="0" fillId="0" borderId="0" xfId="0" pivotButton="1"/>
    <xf numFmtId="0" fontId="0" fillId="0" borderId="0" xfId="0">
      <extLst>
        <ext xmlns:xfpb="http://schemas.microsoft.com/office/spreadsheetml/2022/featurepropertybag" uri="{C7286773-470A-42A8-94C5-96B5CB345126}">
          <xfpb:xfComplement i="0"/>
        </ext>
      </extLst>
    </xf>
    <xf numFmtId="0" fontId="2" fillId="2" borderId="0" xfId="0" applyFont="1" applyFill="1"/>
    <xf numFmtId="0" fontId="3" fillId="2" borderId="0" xfId="0" applyFont="1" applyFill="1"/>
    <xf numFmtId="0" fontId="4" fillId="0" borderId="0" xfId="0" applyFont="1"/>
    <xf numFmtId="0" fontId="7" fillId="2" borderId="1" xfId="0" applyFont="1" applyFill="1" applyBorder="1"/>
    <xf numFmtId="0" fontId="6" fillId="0" borderId="1" xfId="0" applyFont="1" applyBorder="1"/>
    <xf numFmtId="0" fontId="7" fillId="2" borderId="2" xfId="0" applyFont="1" applyFill="1" applyBorder="1"/>
    <xf numFmtId="0" fontId="5" fillId="2" borderId="2" xfId="0" applyFont="1" applyFill="1" applyBorder="1"/>
    <xf numFmtId="0" fontId="6" fillId="0" borderId="3" xfId="0" applyFont="1" applyBorder="1"/>
    <xf numFmtId="0" fontId="6" fillId="2" borderId="0" xfId="0" applyFont="1" applyFill="1"/>
    <xf numFmtId="22" fontId="0" fillId="0" borderId="0" xfId="0" applyNumberFormat="1"/>
    <xf numFmtId="0" fontId="0" fillId="0" borderId="0" xfId="0" applyNumberFormat="1"/>
    <xf numFmtId="0" fontId="8" fillId="0" borderId="0" xfId="1"/>
    <xf numFmtId="0" fontId="9" fillId="3" borderId="0" xfId="0" applyNumberFormat="1" applyFont="1" applyFill="1"/>
    <xf numFmtId="0" fontId="9" fillId="3" borderId="0" xfId="0" applyFont="1" applyFill="1"/>
    <xf numFmtId="0" fontId="9" fillId="0" borderId="0" xfId="0" applyFont="1"/>
    <xf numFmtId="14" fontId="9" fillId="0" borderId="0" xfId="0" applyNumberFormat="1" applyFont="1"/>
    <xf numFmtId="0" fontId="10" fillId="3" borderId="0" xfId="0" applyFont="1" applyFill="1"/>
    <xf numFmtId="0" fontId="1" fillId="3" borderId="0" xfId="0" applyFont="1" applyFill="1"/>
    <xf numFmtId="0" fontId="11" fillId="3" borderId="0" xfId="0" applyFont="1" applyFill="1"/>
  </cellXfs>
  <cellStyles count="2">
    <cellStyle name="Hyperlink" xfId="1" builtinId="8"/>
    <cellStyle name="Normal" xfId="0" builtinId="0"/>
  </cellStyles>
  <dxfs count="2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rgb="FFFF0000"/>
        <name val="Aptos Narrow"/>
        <family val="2"/>
        <scheme val="minor"/>
      </font>
      <fill>
        <patternFill patternType="solid">
          <fgColor indexed="64"/>
          <bgColor rgb="FFFFC00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rgb="FFFF0000"/>
        <name val="Aptos Narrow"/>
        <family val="2"/>
        <scheme val="minor"/>
      </font>
      <fill>
        <patternFill patternType="solid">
          <fgColor indexed="64"/>
          <bgColor rgb="FFFFC00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rgb="FFFF0000"/>
        <name val="Aptos Narrow"/>
        <family val="2"/>
        <scheme val="minor"/>
      </font>
      <fill>
        <patternFill patternType="solid">
          <fgColor indexed="64"/>
          <bgColor rgb="FFFFC000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27" formatCode="m/d/yyyy\ h:mm"/>
    </dxf>
    <dxf>
      <numFmt numFmtId="27" formatCode="m/d/yyyy\ h:mm"/>
    </dxf>
    <dxf>
      <numFmt numFmtId="27" formatCode="m/d/yyyy\ h:mm"/>
    </dxf>
    <dxf>
      <numFmt numFmtId="27" formatCode="m/d/yyyy\ h:mm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microsoft.com/office/2007/relationships/slicerCache" Target="slicerCaches/slicerCache4.xml"/><Relationship Id="rId18" Type="http://schemas.microsoft.com/office/2007/relationships/slicerCache" Target="slicerCaches/slicerCache9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microsoft.com/office/2007/relationships/slicerCache" Target="slicerCaches/slicerCache3.xml"/><Relationship Id="rId17" Type="http://schemas.microsoft.com/office/2007/relationships/slicerCache" Target="slicerCaches/slicerCache8.xml"/><Relationship Id="rId2" Type="http://schemas.openxmlformats.org/officeDocument/2006/relationships/worksheet" Target="worksheets/sheet2.xml"/><Relationship Id="rId16" Type="http://schemas.microsoft.com/office/2007/relationships/slicerCache" Target="slicerCaches/slicerCache7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microsoft.com/office/2007/relationships/slicerCache" Target="slicerCaches/slicerCache2.xml"/><Relationship Id="rId24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microsoft.com/office/2007/relationships/slicerCache" Target="slicerCaches/slicerCache6.xml"/><Relationship Id="rId23" Type="http://schemas.microsoft.com/office/2022/11/relationships/FeaturePropertyBag" Target="featurePropertyBag/featurePropertyBag.xml"/><Relationship Id="rId10" Type="http://schemas.microsoft.com/office/2007/relationships/slicerCache" Target="slicerCaches/slicerCache1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Relationship Id="rId14" Type="http://schemas.microsoft.com/office/2007/relationships/slicerCache" Target="slicerCaches/slicerCache5.xml"/><Relationship Id="rId22" Type="http://schemas.openxmlformats.org/officeDocument/2006/relationships/sheetMetadata" Target="metadata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 dataset 1.xlsx]Sales by salespaerson!PivotTable1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'Sales by salespaerson'!$B$3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'Sales by salespaerson'!$A$4:$A$8</c:f>
              <c:strCache>
                <c:ptCount val="4"/>
                <c:pt idx="0">
                  <c:v>Anu</c:v>
                </c:pt>
                <c:pt idx="1">
                  <c:v>Kiran</c:v>
                </c:pt>
                <c:pt idx="2">
                  <c:v>Priya</c:v>
                </c:pt>
                <c:pt idx="3">
                  <c:v>Ravi</c:v>
                </c:pt>
              </c:strCache>
            </c:strRef>
          </c:cat>
          <c:val>
            <c:numRef>
              <c:f>'Sales by salespaerson'!$B$4:$B$8</c:f>
              <c:numCache>
                <c:formatCode>General</c:formatCode>
                <c:ptCount val="4"/>
                <c:pt idx="0">
                  <c:v>174000</c:v>
                </c:pt>
                <c:pt idx="1">
                  <c:v>44500</c:v>
                </c:pt>
                <c:pt idx="2">
                  <c:v>144500</c:v>
                </c:pt>
                <c:pt idx="3">
                  <c:v>50000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50D-46F8-99F4-C59FBBF369E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42267144"/>
        <c:axId val="1242261000"/>
      </c:barChart>
      <c:catAx>
        <c:axId val="12422671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42261000"/>
        <c:crosses val="autoZero"/>
        <c:auto val="1"/>
        <c:lblAlgn val="ctr"/>
        <c:lblOffset val="100"/>
        <c:noMultiLvlLbl val="0"/>
      </c:catAx>
      <c:valAx>
        <c:axId val="12422610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422671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 dataset 1.xlsx]Sales by Region!PivotTable2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1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'Sales by Region'!$B$3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0598-4600-AA89-8ACA83000739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0598-4600-AA89-8ACA83000739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0598-4600-AA89-8ACA83000739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0598-4600-AA89-8ACA83000739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1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'Sales by Region'!$A$4:$A$8</c:f>
              <c:strCache>
                <c:ptCount val="4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'Sales by Region'!$B$4:$B$8</c:f>
              <c:numCache>
                <c:formatCode>General</c:formatCode>
                <c:ptCount val="4"/>
                <c:pt idx="0">
                  <c:v>144500</c:v>
                </c:pt>
                <c:pt idx="1">
                  <c:v>50000</c:v>
                </c:pt>
                <c:pt idx="2">
                  <c:v>174000</c:v>
                </c:pt>
                <c:pt idx="3">
                  <c:v>44500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3BE-4613-B79C-F2F7E6AA5A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 dataset 1.xlsx]Sales by Product!PivotTable3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'Sales by Product'!$B$3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'Sales by Product'!$A$4:$A$10</c:f>
              <c:strCache>
                <c:ptCount val="6"/>
                <c:pt idx="0">
                  <c:v>Headphones</c:v>
                </c:pt>
                <c:pt idx="1">
                  <c:v>Keyboard</c:v>
                </c:pt>
                <c:pt idx="2">
                  <c:v>Laptop</c:v>
                </c:pt>
                <c:pt idx="3">
                  <c:v>Monitor</c:v>
                </c:pt>
                <c:pt idx="4">
                  <c:v>Mouse</c:v>
                </c:pt>
                <c:pt idx="5">
                  <c:v>Printer</c:v>
                </c:pt>
              </c:strCache>
            </c:strRef>
          </c:cat>
          <c:val>
            <c:numRef>
              <c:f>'Sales by Product'!$B$4:$B$10</c:f>
              <c:numCache>
                <c:formatCode>General</c:formatCode>
                <c:ptCount val="6"/>
                <c:pt idx="0">
                  <c:v>22500</c:v>
                </c:pt>
                <c:pt idx="1">
                  <c:v>13500</c:v>
                </c:pt>
                <c:pt idx="2">
                  <c:v>275000</c:v>
                </c:pt>
                <c:pt idx="3">
                  <c:v>60000</c:v>
                </c:pt>
                <c:pt idx="4">
                  <c:v>12000</c:v>
                </c:pt>
                <c:pt idx="5">
                  <c:v>30000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180-4476-9549-C8FD93E91C3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733834759"/>
        <c:axId val="1242296328"/>
      </c:barChart>
      <c:catAx>
        <c:axId val="173383475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42296328"/>
        <c:crosses val="autoZero"/>
        <c:auto val="1"/>
        <c:lblAlgn val="ctr"/>
        <c:lblOffset val="100"/>
        <c:noMultiLvlLbl val="0"/>
      </c:catAx>
      <c:valAx>
        <c:axId val="124229632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3383475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 dataset 1.xlsx]Quantity by product!PivotTable4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'Quantity by product'!$B$3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'Quantity by product'!$A$4:$A$10</c:f>
              <c:strCache>
                <c:ptCount val="6"/>
                <c:pt idx="0">
                  <c:v>Headphones</c:v>
                </c:pt>
                <c:pt idx="1">
                  <c:v>Keyboard</c:v>
                </c:pt>
                <c:pt idx="2">
                  <c:v>Laptop</c:v>
                </c:pt>
                <c:pt idx="3">
                  <c:v>Monitor</c:v>
                </c:pt>
                <c:pt idx="4">
                  <c:v>Mouse</c:v>
                </c:pt>
                <c:pt idx="5">
                  <c:v>Printer</c:v>
                </c:pt>
              </c:strCache>
            </c:strRef>
          </c:cat>
          <c:val>
            <c:numRef>
              <c:f>'Quantity by product'!$B$4:$B$10</c:f>
              <c:numCache>
                <c:formatCode>General</c:formatCode>
                <c:ptCount val="6"/>
                <c:pt idx="0">
                  <c:v>9</c:v>
                </c:pt>
                <c:pt idx="1">
                  <c:v>9</c:v>
                </c:pt>
                <c:pt idx="2">
                  <c:v>5</c:v>
                </c:pt>
                <c:pt idx="3">
                  <c:v>5</c:v>
                </c:pt>
                <c:pt idx="4">
                  <c:v>15</c:v>
                </c:pt>
                <c:pt idx="5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D3A-403A-A39A-355CB18E271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33880839"/>
        <c:axId val="1238836232"/>
      </c:lineChart>
      <c:catAx>
        <c:axId val="17338808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38836232"/>
        <c:crosses val="autoZero"/>
        <c:auto val="1"/>
        <c:lblAlgn val="ctr"/>
        <c:lblOffset val="100"/>
        <c:noMultiLvlLbl val="0"/>
      </c:catAx>
      <c:valAx>
        <c:axId val="12388362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3388083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 dataset 1.xlsx]Sales by salespaerson!PivotTable1</c:name>
    <c:fmtId val="4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'Sales by salespaerson'!$B$3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'Sales by salespaerson'!$A$4:$A$8</c:f>
              <c:strCache>
                <c:ptCount val="4"/>
                <c:pt idx="0">
                  <c:v>Anu</c:v>
                </c:pt>
                <c:pt idx="1">
                  <c:v>Kiran</c:v>
                </c:pt>
                <c:pt idx="2">
                  <c:v>Priya</c:v>
                </c:pt>
                <c:pt idx="3">
                  <c:v>Ravi</c:v>
                </c:pt>
              </c:strCache>
            </c:strRef>
          </c:cat>
          <c:val>
            <c:numRef>
              <c:f>'Sales by salespaerson'!$B$4:$B$8</c:f>
              <c:numCache>
                <c:formatCode>General</c:formatCode>
                <c:ptCount val="4"/>
                <c:pt idx="0">
                  <c:v>174000</c:v>
                </c:pt>
                <c:pt idx="1">
                  <c:v>44500</c:v>
                </c:pt>
                <c:pt idx="2">
                  <c:v>144500</c:v>
                </c:pt>
                <c:pt idx="3">
                  <c:v>50000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859-451F-86DC-A6F0B9A5493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42267144"/>
        <c:axId val="1242261000"/>
      </c:barChart>
      <c:catAx>
        <c:axId val="12422671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42261000"/>
        <c:crosses val="autoZero"/>
        <c:auto val="1"/>
        <c:lblAlgn val="ctr"/>
        <c:lblOffset val="100"/>
        <c:noMultiLvlLbl val="0"/>
      </c:catAx>
      <c:valAx>
        <c:axId val="12422610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422671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 dataset 1.xlsx]Sales by Region!PivotTable2</c:name>
    <c:fmtId val="4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pieChart>
        <c:varyColors val="1"/>
        <c:ser>
          <c:idx val="0"/>
          <c:order val="0"/>
          <c:tx>
            <c:strRef>
              <c:f>'Sales by Region'!$B$3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C12E-4B79-B05A-3881A6E867A8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C12E-4B79-B05A-3881A6E867A8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C12E-4B79-B05A-3881A6E867A8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C12E-4B79-B05A-3881A6E867A8}"/>
              </c:ext>
            </c:extLst>
          </c:dPt>
          <c:cat>
            <c:strRef>
              <c:f>'Sales by Region'!$A$4:$A$8</c:f>
              <c:strCache>
                <c:ptCount val="4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'Sales by Region'!$B$4:$B$8</c:f>
              <c:numCache>
                <c:formatCode>General</c:formatCode>
                <c:ptCount val="4"/>
                <c:pt idx="0">
                  <c:v>144500</c:v>
                </c:pt>
                <c:pt idx="1">
                  <c:v>50000</c:v>
                </c:pt>
                <c:pt idx="2">
                  <c:v>174000</c:v>
                </c:pt>
                <c:pt idx="3">
                  <c:v>44500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C12E-4B79-B05A-3881A6E867A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 dataset 1.xlsx]Sales by Product!PivotTable3</c:name>
    <c:fmtId val="4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'Sales by Product'!$B$3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'Sales by Product'!$A$4:$A$10</c:f>
              <c:strCache>
                <c:ptCount val="6"/>
                <c:pt idx="0">
                  <c:v>Headphones</c:v>
                </c:pt>
                <c:pt idx="1">
                  <c:v>Keyboard</c:v>
                </c:pt>
                <c:pt idx="2">
                  <c:v>Laptop</c:v>
                </c:pt>
                <c:pt idx="3">
                  <c:v>Monitor</c:v>
                </c:pt>
                <c:pt idx="4">
                  <c:v>Mouse</c:v>
                </c:pt>
                <c:pt idx="5">
                  <c:v>Printer</c:v>
                </c:pt>
              </c:strCache>
            </c:strRef>
          </c:cat>
          <c:val>
            <c:numRef>
              <c:f>'Sales by Product'!$B$4:$B$10</c:f>
              <c:numCache>
                <c:formatCode>General</c:formatCode>
                <c:ptCount val="6"/>
                <c:pt idx="0">
                  <c:v>22500</c:v>
                </c:pt>
                <c:pt idx="1">
                  <c:v>13500</c:v>
                </c:pt>
                <c:pt idx="2">
                  <c:v>275000</c:v>
                </c:pt>
                <c:pt idx="3">
                  <c:v>60000</c:v>
                </c:pt>
                <c:pt idx="4">
                  <c:v>12000</c:v>
                </c:pt>
                <c:pt idx="5">
                  <c:v>30000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701-471F-B76A-A1790FE67EF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733834759"/>
        <c:axId val="1242296328"/>
      </c:barChart>
      <c:catAx>
        <c:axId val="173383475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42296328"/>
        <c:crosses val="autoZero"/>
        <c:auto val="1"/>
        <c:lblAlgn val="ctr"/>
        <c:lblOffset val="100"/>
        <c:noMultiLvlLbl val="0"/>
      </c:catAx>
      <c:valAx>
        <c:axId val="124229632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3383475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 dataset 1.xlsx]Quantity by product!PivotTable4</c:name>
    <c:fmtId val="4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'Quantity by product'!$B$3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'Quantity by product'!$A$4:$A$10</c:f>
              <c:strCache>
                <c:ptCount val="6"/>
                <c:pt idx="0">
                  <c:v>Headphones</c:v>
                </c:pt>
                <c:pt idx="1">
                  <c:v>Keyboard</c:v>
                </c:pt>
                <c:pt idx="2">
                  <c:v>Laptop</c:v>
                </c:pt>
                <c:pt idx="3">
                  <c:v>Monitor</c:v>
                </c:pt>
                <c:pt idx="4">
                  <c:v>Mouse</c:v>
                </c:pt>
                <c:pt idx="5">
                  <c:v>Printer</c:v>
                </c:pt>
              </c:strCache>
            </c:strRef>
          </c:cat>
          <c:val>
            <c:numRef>
              <c:f>'Quantity by product'!$B$4:$B$10</c:f>
              <c:numCache>
                <c:formatCode>General</c:formatCode>
                <c:ptCount val="6"/>
                <c:pt idx="0">
                  <c:v>9</c:v>
                </c:pt>
                <c:pt idx="1">
                  <c:v>9</c:v>
                </c:pt>
                <c:pt idx="2">
                  <c:v>5</c:v>
                </c:pt>
                <c:pt idx="3">
                  <c:v>5</c:v>
                </c:pt>
                <c:pt idx="4">
                  <c:v>15</c:v>
                </c:pt>
                <c:pt idx="5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B11-4E10-9C8D-BB3A40BDCD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33880839"/>
        <c:axId val="1238836232"/>
      </c:lineChart>
      <c:catAx>
        <c:axId val="17338808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38836232"/>
        <c:crosses val="autoZero"/>
        <c:auto val="1"/>
        <c:lblAlgn val="ctr"/>
        <c:lblOffset val="100"/>
        <c:noMultiLvlLbl val="0"/>
      </c:catAx>
      <c:valAx>
        <c:axId val="12388362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3388083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Relationship Id="rId4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6</xdr:row>
      <xdr:rowOff>38100</xdr:rowOff>
    </xdr:from>
    <xdr:to>
      <xdr:col>10</xdr:col>
      <xdr:colOff>304800</xdr:colOff>
      <xdr:row>20</xdr:row>
      <xdr:rowOff>114300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F137E42-A304-7B70-D609-F19D1DCCD86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142875</xdr:colOff>
      <xdr:row>1</xdr:row>
      <xdr:rowOff>85725</xdr:rowOff>
    </xdr:from>
    <xdr:to>
      <xdr:col>10</xdr:col>
      <xdr:colOff>447675</xdr:colOff>
      <xdr:row>15</xdr:row>
      <xdr:rowOff>161925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9D1BDBC-3DD3-FD16-C67D-0FD0A7B8D92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285750</xdr:colOff>
      <xdr:row>26</xdr:row>
      <xdr:rowOff>95250</xdr:rowOff>
    </xdr:from>
    <xdr:to>
      <xdr:col>2</xdr:col>
      <xdr:colOff>142875</xdr:colOff>
      <xdr:row>40</xdr:row>
      <xdr:rowOff>66675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3" name="Order _ID">
              <a:extLst>
                <a:ext uri="{FF2B5EF4-FFF2-40B4-BE49-F238E27FC236}">
                  <a16:creationId xmlns:a16="http://schemas.microsoft.com/office/drawing/2014/main" id="{AF292CBB-2DDF-0763-E42E-ED06F800F562}"/>
                </a:ext>
                <a:ext uri="{147F2762-F138-4A5C-976F-8EAC2B608ADB}">
                  <a16:predDERef xmlns:a16="http://schemas.microsoft.com/office/drawing/2014/main" pred="{69D1BDBC-3DD3-FD16-C67D-0FD0A7B8D92C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Order _ID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85750" y="5048250"/>
              <a:ext cx="1828800" cy="26384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  <xdr:twoCellAnchor editAs="oneCell">
    <xdr:from>
      <xdr:col>6</xdr:col>
      <xdr:colOff>333375</xdr:colOff>
      <xdr:row>26</xdr:row>
      <xdr:rowOff>133350</xdr:rowOff>
    </xdr:from>
    <xdr:to>
      <xdr:col>9</xdr:col>
      <xdr:colOff>333375</xdr:colOff>
      <xdr:row>40</xdr:row>
      <xdr:rowOff>104775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4" name="Date">
              <a:extLst>
                <a:ext uri="{FF2B5EF4-FFF2-40B4-BE49-F238E27FC236}">
                  <a16:creationId xmlns:a16="http://schemas.microsoft.com/office/drawing/2014/main" id="{CCF31B3F-8451-FEDA-C467-F011F8404A4F}"/>
                </a:ext>
                <a:ext uri="{147F2762-F138-4A5C-976F-8EAC2B608ADB}">
                  <a16:predDERef xmlns:a16="http://schemas.microsoft.com/office/drawing/2014/main" pred="{AF292CBB-2DDF-0763-E42E-ED06F800F562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Date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743450" y="5086350"/>
              <a:ext cx="1828800" cy="26384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  <xdr:twoCellAnchor editAs="oneCell">
    <xdr:from>
      <xdr:col>2</xdr:col>
      <xdr:colOff>476250</xdr:colOff>
      <xdr:row>26</xdr:row>
      <xdr:rowOff>85725</xdr:rowOff>
    </xdr:from>
    <xdr:to>
      <xdr:col>5</xdr:col>
      <xdr:colOff>476250</xdr:colOff>
      <xdr:row>40</xdr:row>
      <xdr:rowOff>57150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5" name="Salesperson">
              <a:extLst>
                <a:ext uri="{FF2B5EF4-FFF2-40B4-BE49-F238E27FC236}">
                  <a16:creationId xmlns:a16="http://schemas.microsoft.com/office/drawing/2014/main" id="{DCA65108-A568-64C9-AA5C-47A6F5FAAB24}"/>
                </a:ext>
                <a:ext uri="{147F2762-F138-4A5C-976F-8EAC2B608ADB}">
                  <a16:predDERef xmlns:a16="http://schemas.microsoft.com/office/drawing/2014/main" pred="{CCF31B3F-8451-FEDA-C467-F011F8404A4F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alesperson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447925" y="5038725"/>
              <a:ext cx="1828800" cy="26384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  <xdr:twoCellAnchor editAs="oneCell">
    <xdr:from>
      <xdr:col>2</xdr:col>
      <xdr:colOff>571500</xdr:colOff>
      <xdr:row>42</xdr:row>
      <xdr:rowOff>47625</xdr:rowOff>
    </xdr:from>
    <xdr:to>
      <xdr:col>5</xdr:col>
      <xdr:colOff>571500</xdr:colOff>
      <xdr:row>56</xdr:row>
      <xdr:rowOff>19050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6" name="Product">
              <a:extLst>
                <a:ext uri="{FF2B5EF4-FFF2-40B4-BE49-F238E27FC236}">
                  <a16:creationId xmlns:a16="http://schemas.microsoft.com/office/drawing/2014/main" id="{8D620FB5-ECE5-B4F7-A7D7-B549C9CCA700}"/>
                </a:ext>
                <a:ext uri="{147F2762-F138-4A5C-976F-8EAC2B608ADB}">
                  <a16:predDERef xmlns:a16="http://schemas.microsoft.com/office/drawing/2014/main" pred="{DCA65108-A568-64C9-AA5C-47A6F5FAAB24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Product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543175" y="8048625"/>
              <a:ext cx="1828800" cy="26384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  <xdr:twoCellAnchor editAs="oneCell">
    <xdr:from>
      <xdr:col>16</xdr:col>
      <xdr:colOff>581025</xdr:colOff>
      <xdr:row>26</xdr:row>
      <xdr:rowOff>114300</xdr:rowOff>
    </xdr:from>
    <xdr:to>
      <xdr:col>19</xdr:col>
      <xdr:colOff>581025</xdr:colOff>
      <xdr:row>40</xdr:row>
      <xdr:rowOff>85725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7" name="Category">
              <a:extLst>
                <a:ext uri="{FF2B5EF4-FFF2-40B4-BE49-F238E27FC236}">
                  <a16:creationId xmlns:a16="http://schemas.microsoft.com/office/drawing/2014/main" id="{8010292E-E090-D25D-A5C0-D3CFD1F3D20F}"/>
                </a:ext>
                <a:ext uri="{147F2762-F138-4A5C-976F-8EAC2B608ADB}">
                  <a16:predDERef xmlns:a16="http://schemas.microsoft.com/office/drawing/2014/main" pred="{8D620FB5-ECE5-B4F7-A7D7-B549C9CCA70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ategory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1087100" y="5067300"/>
              <a:ext cx="1828800" cy="26384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  <xdr:twoCellAnchor editAs="oneCell">
    <xdr:from>
      <xdr:col>13</xdr:col>
      <xdr:colOff>247650</xdr:colOff>
      <xdr:row>26</xdr:row>
      <xdr:rowOff>142875</xdr:rowOff>
    </xdr:from>
    <xdr:to>
      <xdr:col>16</xdr:col>
      <xdr:colOff>247650</xdr:colOff>
      <xdr:row>40</xdr:row>
      <xdr:rowOff>114300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8" name="Region">
              <a:extLst>
                <a:ext uri="{FF2B5EF4-FFF2-40B4-BE49-F238E27FC236}">
                  <a16:creationId xmlns:a16="http://schemas.microsoft.com/office/drawing/2014/main" id="{F94A4416-A243-AEF8-51F6-6CB34CDD212E}"/>
                </a:ext>
                <a:ext uri="{147F2762-F138-4A5C-976F-8EAC2B608ADB}">
                  <a16:predDERef xmlns:a16="http://schemas.microsoft.com/office/drawing/2014/main" pred="{8010292E-E090-D25D-A5C0-D3CFD1F3D20F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Region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8924925" y="5095875"/>
              <a:ext cx="1828800" cy="26384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  <xdr:twoCellAnchor editAs="oneCell">
    <xdr:from>
      <xdr:col>10</xdr:col>
      <xdr:colOff>38100</xdr:colOff>
      <xdr:row>26</xdr:row>
      <xdr:rowOff>133350</xdr:rowOff>
    </xdr:from>
    <xdr:to>
      <xdr:col>13</xdr:col>
      <xdr:colOff>38100</xdr:colOff>
      <xdr:row>40</xdr:row>
      <xdr:rowOff>104775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9" name="Quantity">
              <a:extLst>
                <a:ext uri="{FF2B5EF4-FFF2-40B4-BE49-F238E27FC236}">
                  <a16:creationId xmlns:a16="http://schemas.microsoft.com/office/drawing/2014/main" id="{234E5489-7EF0-C363-A927-D8E119CDCE2F}"/>
                </a:ext>
                <a:ext uri="{147F2762-F138-4A5C-976F-8EAC2B608ADB}">
                  <a16:predDERef xmlns:a16="http://schemas.microsoft.com/office/drawing/2014/main" pred="{F94A4416-A243-AEF8-51F6-6CB34CDD212E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Quantity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886575" y="5086350"/>
              <a:ext cx="1828800" cy="26384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  <xdr:twoCellAnchor editAs="oneCell">
    <xdr:from>
      <xdr:col>0</xdr:col>
      <xdr:colOff>266700</xdr:colOff>
      <xdr:row>41</xdr:row>
      <xdr:rowOff>104775</xdr:rowOff>
    </xdr:from>
    <xdr:to>
      <xdr:col>2</xdr:col>
      <xdr:colOff>123825</xdr:colOff>
      <xdr:row>55</xdr:row>
      <xdr:rowOff>76200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10" name="Unit_Price">
              <a:extLst>
                <a:ext uri="{FF2B5EF4-FFF2-40B4-BE49-F238E27FC236}">
                  <a16:creationId xmlns:a16="http://schemas.microsoft.com/office/drawing/2014/main" id="{51C51BB5-279E-67B7-C144-12CE7A0BF392}"/>
                </a:ext>
                <a:ext uri="{147F2762-F138-4A5C-976F-8EAC2B608ADB}">
                  <a16:predDERef xmlns:a16="http://schemas.microsoft.com/office/drawing/2014/main" pred="{234E5489-7EF0-C363-A927-D8E119CDCE2F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Unit_Price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66700" y="7915275"/>
              <a:ext cx="1828800" cy="26384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  <xdr:twoCellAnchor editAs="oneCell">
    <xdr:from>
      <xdr:col>7</xdr:col>
      <xdr:colOff>76200</xdr:colOff>
      <xdr:row>42</xdr:row>
      <xdr:rowOff>28575</xdr:rowOff>
    </xdr:from>
    <xdr:to>
      <xdr:col>10</xdr:col>
      <xdr:colOff>76200</xdr:colOff>
      <xdr:row>56</xdr:row>
      <xdr:rowOff>0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11" name="Total_Sales">
              <a:extLst>
                <a:ext uri="{FF2B5EF4-FFF2-40B4-BE49-F238E27FC236}">
                  <a16:creationId xmlns:a16="http://schemas.microsoft.com/office/drawing/2014/main" id="{18DAE0C1-D2AB-D565-622A-543EFC465457}"/>
                </a:ext>
                <a:ext uri="{147F2762-F138-4A5C-976F-8EAC2B608ADB}">
                  <a16:predDERef xmlns:a16="http://schemas.microsoft.com/office/drawing/2014/main" pred="{51C51BB5-279E-67B7-C144-12CE7A0BF392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Total_Sales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5095875" y="8029575"/>
              <a:ext cx="1828800" cy="26384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  <xdr:twoCellAnchor>
    <xdr:from>
      <xdr:col>7</xdr:col>
      <xdr:colOff>114300</xdr:colOff>
      <xdr:row>22</xdr:row>
      <xdr:rowOff>57150</xdr:rowOff>
    </xdr:from>
    <xdr:to>
      <xdr:col>10</xdr:col>
      <xdr:colOff>514350</xdr:colOff>
      <xdr:row>24</xdr:row>
      <xdr:rowOff>85725</xdr:rowOff>
    </xdr:to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3CDDCE22-3236-345C-BC20-BE84C3BAABB1}"/>
            </a:ext>
            <a:ext uri="{147F2762-F138-4A5C-976F-8EAC2B608ADB}">
              <a16:predDERef xmlns:a16="http://schemas.microsoft.com/office/drawing/2014/main" pred="{18DAE0C1-D2AB-D565-622A-543EFC465457}"/>
            </a:ext>
          </a:extLst>
        </xdr:cNvPr>
        <xdr:cNvSpPr txBox="1"/>
      </xdr:nvSpPr>
      <xdr:spPr>
        <a:xfrm>
          <a:off x="5133975" y="4248150"/>
          <a:ext cx="2228850" cy="409575"/>
        </a:xfrm>
        <a:prstGeom prst="rect">
          <a:avLst/>
        </a:prstGeom>
        <a:solidFill>
          <a:srgbClr val="FFFF00"/>
        </a:solidFill>
        <a:ln w="9525" cmpd="sng">
          <a:solidFill>
            <a:schemeClr val="lt1">
              <a:shade val="50000"/>
            </a:schemeClr>
          </a:solidFill>
        </a:ln>
      </xdr:spPr>
      <xdr:txBody>
        <a:bodyPr spcFirstLastPara="0" vertOverflow="clip" horzOverflow="clip" wrap="square" lIns="91440" tIns="45720" rIns="91440" bIns="45720" rtlCol="0" anchor="t">
          <a:noAutofit/>
        </a:bodyPr>
        <a:lstStyle/>
        <a:p>
          <a:pPr marL="0" indent="0" algn="l"/>
          <a:r>
            <a:rPr lang="en-US" sz="1600" b="1">
              <a:solidFill>
                <a:srgbClr val="FF0000"/>
              </a:solidFill>
              <a:latin typeface="+mn-lt"/>
              <a:ea typeface="+mn-lt"/>
              <a:cs typeface="+mn-lt"/>
            </a:rPr>
            <a:t>SALES</a:t>
          </a:r>
          <a:r>
            <a:rPr lang="en-US" sz="1600" b="1">
              <a:latin typeface="+mn-lt"/>
              <a:ea typeface="+mn-lt"/>
              <a:cs typeface="+mn-lt"/>
            </a:rPr>
            <a:t> </a:t>
          </a:r>
          <a:r>
            <a:rPr lang="en-US" sz="1600" b="1">
              <a:solidFill>
                <a:srgbClr val="FF0000"/>
              </a:solidFill>
              <a:latin typeface="+mn-lt"/>
              <a:ea typeface="+mn-lt"/>
              <a:cs typeface="+mn-lt"/>
            </a:rPr>
            <a:t>SLICERS</a:t>
          </a:r>
          <a:r>
            <a:rPr lang="en-US" sz="1600">
              <a:latin typeface="+mn-lt"/>
              <a:ea typeface="+mn-lt"/>
              <a:cs typeface="+mn-lt"/>
            </a:rPr>
            <a:t> 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285750</xdr:colOff>
      <xdr:row>5</xdr:row>
      <xdr:rowOff>152400</xdr:rowOff>
    </xdr:from>
    <xdr:to>
      <xdr:col>9</xdr:col>
      <xdr:colOff>590550</xdr:colOff>
      <xdr:row>20</xdr:row>
      <xdr:rowOff>38100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AEB80E3-D972-76EB-A6ED-00DA2D796B5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352425</xdr:colOff>
      <xdr:row>6</xdr:row>
      <xdr:rowOff>9525</xdr:rowOff>
    </xdr:from>
    <xdr:to>
      <xdr:col>10</xdr:col>
      <xdr:colOff>47625</xdr:colOff>
      <xdr:row>20</xdr:row>
      <xdr:rowOff>85725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48F5D79-76B3-8940-81F9-5C83D6E4FA2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200025</xdr:colOff>
      <xdr:row>8</xdr:row>
      <xdr:rowOff>0</xdr:rowOff>
    </xdr:from>
    <xdr:to>
      <xdr:col>4</xdr:col>
      <xdr:colOff>819150</xdr:colOff>
      <xdr:row>22</xdr:row>
      <xdr:rowOff>76200</xdr:rowOff>
    </xdr:to>
    <xdr:graphicFrame macro="">
      <xdr:nvGraphicFramePr>
        <xdr:cNvPr id="2" name="Chart 2">
          <a:extLst>
            <a:ext uri="{FF2B5EF4-FFF2-40B4-BE49-F238E27FC236}">
              <a16:creationId xmlns:a16="http://schemas.microsoft.com/office/drawing/2014/main" id="{9D1772C8-C088-4F80-A775-422D6848B0C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26</xdr:row>
      <xdr:rowOff>114300</xdr:rowOff>
    </xdr:from>
    <xdr:to>
      <xdr:col>4</xdr:col>
      <xdr:colOff>323850</xdr:colOff>
      <xdr:row>41</xdr:row>
      <xdr:rowOff>0</xdr:rowOff>
    </xdr:to>
    <xdr:graphicFrame macro="">
      <xdr:nvGraphicFramePr>
        <xdr:cNvPr id="3" name="Chart 1">
          <a:extLst>
            <a:ext uri="{FF2B5EF4-FFF2-40B4-BE49-F238E27FC236}">
              <a16:creationId xmlns:a16="http://schemas.microsoft.com/office/drawing/2014/main" id="{22FB7710-4C3E-4A9D-92D3-16158D4C2F98}"/>
            </a:ext>
            <a:ext uri="{147F2762-F138-4A5C-976F-8EAC2B608ADB}">
              <a16:predDERef xmlns:a16="http://schemas.microsoft.com/office/drawing/2014/main" pred="{9D1772C8-C088-4F80-A775-422D6848B0C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104775</xdr:colOff>
      <xdr:row>46</xdr:row>
      <xdr:rowOff>114300</xdr:rowOff>
    </xdr:from>
    <xdr:to>
      <xdr:col>4</xdr:col>
      <xdr:colOff>428625</xdr:colOff>
      <xdr:row>61</xdr:row>
      <xdr:rowOff>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45CDB23-967F-4A52-888D-2CF6A90D6E54}"/>
            </a:ext>
            <a:ext uri="{147F2762-F138-4A5C-976F-8EAC2B608ADB}">
              <a16:predDERef xmlns:a16="http://schemas.microsoft.com/office/drawing/2014/main" pred="{22FB7710-4C3E-4A9D-92D3-16158D4C2F9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133350</xdr:colOff>
      <xdr:row>65</xdr:row>
      <xdr:rowOff>19050</xdr:rowOff>
    </xdr:from>
    <xdr:to>
      <xdr:col>4</xdr:col>
      <xdr:colOff>457200</xdr:colOff>
      <xdr:row>79</xdr:row>
      <xdr:rowOff>95250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B87DCDD4-D996-4332-9822-087BCC4DEAD3}"/>
            </a:ext>
            <a:ext uri="{147F2762-F138-4A5C-976F-8EAC2B608ADB}">
              <a16:predDERef xmlns:a16="http://schemas.microsoft.com/office/drawing/2014/main" pred="{045CDB23-967F-4A52-888D-2CF6A90D6E5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252.702975231485" createdVersion="8" refreshedVersion="8" minRefreshableVersion="3" recordCount="12" xr:uid="{BD8EDECD-74AA-4B30-AB69-F461CBEDF952}">
  <cacheSource type="worksheet">
    <worksheetSource name="Table1"/>
  </cacheSource>
  <cacheFields count="9">
    <cacheField name="Order _ID" numFmtId="0">
      <sharedItems count="12">
        <s v="O001"/>
        <s v="O002"/>
        <s v="O003"/>
        <s v="O004"/>
        <s v="O005"/>
        <s v="O006"/>
        <s v="O007"/>
        <s v="O008"/>
        <s v="O009"/>
        <s v="O010"/>
        <s v="O011"/>
        <s v="O012"/>
      </sharedItems>
    </cacheField>
    <cacheField name="Date" numFmtId="0">
      <sharedItems containsDate="1" containsMixedTypes="1" minDate="2026-01-01T00:00:00" maxDate="2026-12-02T00:00:00" count="12">
        <d v="2026-01-01T00:00:00"/>
        <d v="2026-03-01T00:00:00"/>
        <d v="2026-05-01T00:00:00"/>
        <d v="2026-08-01T00:00:00"/>
        <d v="2026-10-01T00:00:00"/>
        <d v="2026-12-01T00:00:00"/>
        <s v="15/01/2026"/>
        <s v="18/01/2026"/>
        <s v="20/01/2026"/>
        <s v="23/01/2026"/>
        <s v="25/01/2026"/>
        <s v="28/01/2026"/>
      </sharedItems>
    </cacheField>
    <cacheField name="Salesperson" numFmtId="0">
      <sharedItems count="4">
        <s v="Anu"/>
        <s v="Ravi"/>
        <s v="Priya"/>
        <s v="Kiran"/>
      </sharedItems>
    </cacheField>
    <cacheField name="Product" numFmtId="0">
      <sharedItems count="6">
        <s v="Laptop"/>
        <s v="Mouse"/>
        <s v="Keyboard"/>
        <s v="Monitor"/>
        <s v="Headphones"/>
        <s v="Printer"/>
      </sharedItems>
    </cacheField>
    <cacheField name="Category" numFmtId="0">
      <sharedItems count="2">
        <s v="Electronics"/>
        <s v="Accessories"/>
      </sharedItems>
    </cacheField>
    <cacheField name="Region" numFmtId="0">
      <sharedItems count="4">
        <s v="South"/>
        <s v="North"/>
        <s v="East"/>
        <s v="West"/>
      </sharedItems>
    </cacheField>
    <cacheField name="Quantity" numFmtId="0">
      <sharedItems containsSemiMixedTypes="0" containsString="0" containsNumber="1" containsInteger="1" minValue="1" maxValue="10" count="7">
        <n v="2"/>
        <n v="5"/>
        <n v="3"/>
        <n v="1"/>
        <n v="4"/>
        <n v="10"/>
        <n v="6"/>
      </sharedItems>
    </cacheField>
    <cacheField name="Unit_Price" numFmtId="0">
      <sharedItems containsSemiMixedTypes="0" containsString="0" containsNumber="1" containsInteger="1" minValue="800" maxValue="55000" count="6">
        <n v="55000"/>
        <n v="800"/>
        <n v="1500"/>
        <n v="12000"/>
        <n v="2500"/>
        <n v="15000"/>
      </sharedItems>
    </cacheField>
    <cacheField name="Total_Sales" numFmtId="0">
      <sharedItems containsSemiMixedTypes="0" containsString="0" containsNumber="1" containsInteger="1" minValue="4000" maxValue="110000" count="11">
        <n v="110000"/>
        <n v="4000"/>
        <n v="4500"/>
        <n v="24000"/>
        <n v="55000"/>
        <n v="10000"/>
        <n v="30000"/>
        <n v="8000"/>
        <n v="9000"/>
        <n v="36000"/>
        <n v="12500"/>
      </sharedItems>
    </cacheField>
  </cacheFields>
  <extLst>
    <ext xmlns:x14="http://schemas.microsoft.com/office/spreadsheetml/2009/9/main" uri="{725AE2AE-9491-48be-B2B4-4EB974FC3084}">
      <x14:pivotCacheDefinition pivotCacheId="594177872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">
  <r>
    <x v="0"/>
    <x v="0"/>
    <x v="0"/>
    <x v="0"/>
    <x v="0"/>
    <x v="0"/>
    <x v="0"/>
    <x v="0"/>
    <x v="0"/>
  </r>
  <r>
    <x v="1"/>
    <x v="1"/>
    <x v="1"/>
    <x v="1"/>
    <x v="1"/>
    <x v="1"/>
    <x v="1"/>
    <x v="1"/>
    <x v="1"/>
  </r>
  <r>
    <x v="2"/>
    <x v="2"/>
    <x v="2"/>
    <x v="2"/>
    <x v="1"/>
    <x v="2"/>
    <x v="2"/>
    <x v="2"/>
    <x v="2"/>
  </r>
  <r>
    <x v="3"/>
    <x v="3"/>
    <x v="3"/>
    <x v="3"/>
    <x v="0"/>
    <x v="3"/>
    <x v="0"/>
    <x v="3"/>
    <x v="3"/>
  </r>
  <r>
    <x v="4"/>
    <x v="4"/>
    <x v="0"/>
    <x v="0"/>
    <x v="0"/>
    <x v="0"/>
    <x v="3"/>
    <x v="0"/>
    <x v="4"/>
  </r>
  <r>
    <x v="5"/>
    <x v="5"/>
    <x v="1"/>
    <x v="4"/>
    <x v="1"/>
    <x v="1"/>
    <x v="4"/>
    <x v="4"/>
    <x v="5"/>
  </r>
  <r>
    <x v="6"/>
    <x v="6"/>
    <x v="2"/>
    <x v="5"/>
    <x v="0"/>
    <x v="2"/>
    <x v="0"/>
    <x v="5"/>
    <x v="6"/>
  </r>
  <r>
    <x v="7"/>
    <x v="7"/>
    <x v="3"/>
    <x v="1"/>
    <x v="1"/>
    <x v="3"/>
    <x v="5"/>
    <x v="1"/>
    <x v="7"/>
  </r>
  <r>
    <x v="8"/>
    <x v="8"/>
    <x v="0"/>
    <x v="2"/>
    <x v="1"/>
    <x v="0"/>
    <x v="6"/>
    <x v="2"/>
    <x v="8"/>
  </r>
  <r>
    <x v="9"/>
    <x v="9"/>
    <x v="1"/>
    <x v="3"/>
    <x v="0"/>
    <x v="1"/>
    <x v="2"/>
    <x v="3"/>
    <x v="9"/>
  </r>
  <r>
    <x v="10"/>
    <x v="10"/>
    <x v="2"/>
    <x v="0"/>
    <x v="0"/>
    <x v="2"/>
    <x v="0"/>
    <x v="0"/>
    <x v="0"/>
  </r>
  <r>
    <x v="11"/>
    <x v="11"/>
    <x v="3"/>
    <x v="4"/>
    <x v="1"/>
    <x v="3"/>
    <x v="1"/>
    <x v="4"/>
    <x v="1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CAEE848-3ADA-46A6-852A-5D0F0F33E0F0}" name="PivotTable1" cacheId="14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5">
  <location ref="A3:B8" firstHeaderRow="1" firstDataRow="1" firstDataCol="1"/>
  <pivotFields count="9">
    <pivotField compact="0" outline="0" showAll="0"/>
    <pivotField compact="0" outline="0" showAll="0"/>
    <pivotField axis="axisRow" compact="0" outline="0" showAll="0">
      <items count="5">
        <item x="0"/>
        <item x="3"/>
        <item x="2"/>
        <item x="1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</pivotFields>
  <rowFields count="1">
    <field x="2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Total_Sales" fld="8" baseField="0" baseItem="0"/>
  </dataFields>
  <chartFormats count="5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5485CC8-FD29-4ED1-AD52-CA94325488D2}" name="PivotTable2" cacheId="14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7">
  <location ref="A3:B8" firstHeaderRow="1" firstDataRow="1" firstDataCol="1"/>
  <pivotFields count="9">
    <pivotField compact="0" outline="0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compact="0" outline="0" showAll="0">
      <items count="13">
        <item x="6"/>
        <item x="7"/>
        <item x="8"/>
        <item x="9"/>
        <item x="10"/>
        <item x="11"/>
        <item x="0"/>
        <item x="1"/>
        <item x="2"/>
        <item x="3"/>
        <item x="4"/>
        <item x="5"/>
        <item t="default"/>
      </items>
    </pivotField>
    <pivotField compact="0" outline="0" showAll="0">
      <items count="5">
        <item x="0"/>
        <item x="3"/>
        <item x="2"/>
        <item x="1"/>
        <item t="default"/>
      </items>
    </pivotField>
    <pivotField compact="0" outline="0" showAll="0">
      <items count="7">
        <item x="4"/>
        <item x="2"/>
        <item x="0"/>
        <item x="3"/>
        <item x="1"/>
        <item x="5"/>
        <item t="default"/>
      </items>
    </pivotField>
    <pivotField compact="0" outline="0" showAll="0">
      <items count="3">
        <item x="1"/>
        <item x="0"/>
        <item t="default"/>
      </items>
    </pivotField>
    <pivotField axis="axisRow" compact="0" outline="0" showAll="0">
      <items count="5">
        <item x="2"/>
        <item x="1"/>
        <item x="0"/>
        <item x="3"/>
        <item t="default"/>
      </items>
    </pivotField>
    <pivotField compact="0" outline="0" showAll="0">
      <items count="8">
        <item x="3"/>
        <item x="0"/>
        <item x="2"/>
        <item x="4"/>
        <item x="1"/>
        <item x="6"/>
        <item x="5"/>
        <item t="default"/>
      </items>
    </pivotField>
    <pivotField compact="0" outline="0" showAll="0">
      <items count="7">
        <item x="1"/>
        <item x="2"/>
        <item x="4"/>
        <item x="3"/>
        <item x="5"/>
        <item x="0"/>
        <item t="default"/>
      </items>
    </pivotField>
    <pivotField dataField="1" compact="0" outline="0" showAll="0">
      <items count="12">
        <item x="1"/>
        <item x="2"/>
        <item x="7"/>
        <item x="8"/>
        <item x="5"/>
        <item x="10"/>
        <item x="3"/>
        <item x="6"/>
        <item x="9"/>
        <item x="4"/>
        <item x="0"/>
        <item t="default"/>
      </items>
    </pivotField>
  </pivotFields>
  <rowFields count="1">
    <field x="5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Total_Sales" fld="8" baseField="0" baseItem="0"/>
  </dataFields>
  <chartFormats count="2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5" count="1" selected="0">
            <x v="2"/>
          </reference>
        </references>
      </pivotArea>
    </chartFormat>
    <chartFormat chart="0" format="4">
      <pivotArea type="data" outline="0" fieldPosition="0">
        <references count="2">
          <reference field="4294967294" count="1" selected="0">
            <x v="0"/>
          </reference>
          <reference field="5" count="1" selected="0">
            <x v="3"/>
          </reference>
        </references>
      </pivotArea>
    </chartFormat>
    <chartFormat chart="1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6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  <chartFormat chart="1" format="7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  <chartFormat chart="1" format="8">
      <pivotArea type="data" outline="0" fieldPosition="0">
        <references count="2">
          <reference field="4294967294" count="1" selected="0">
            <x v="0"/>
          </reference>
          <reference field="5" count="1" selected="0">
            <x v="2"/>
          </reference>
        </references>
      </pivotArea>
    </chartFormat>
    <chartFormat chart="1" format="9">
      <pivotArea type="data" outline="0" fieldPosition="0">
        <references count="2">
          <reference field="4294967294" count="1" selected="0">
            <x v="0"/>
          </reference>
          <reference field="5" count="1" selected="0">
            <x v="3"/>
          </reference>
        </references>
      </pivotArea>
    </chartFormat>
    <chartFormat chart="2" format="1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11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  <chartFormat chart="2" format="12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  <chartFormat chart="2" format="13">
      <pivotArea type="data" outline="0" fieldPosition="0">
        <references count="2">
          <reference field="4294967294" count="1" selected="0">
            <x v="0"/>
          </reference>
          <reference field="5" count="1" selected="0">
            <x v="2"/>
          </reference>
        </references>
      </pivotArea>
    </chartFormat>
    <chartFormat chart="2" format="14">
      <pivotArea type="data" outline="0" fieldPosition="0">
        <references count="2">
          <reference field="4294967294" count="1" selected="0">
            <x v="0"/>
          </reference>
          <reference field="5" count="1" selected="0">
            <x v="3"/>
          </reference>
        </references>
      </pivotArea>
    </chartFormat>
    <chartFormat chart="3" format="1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16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  <chartFormat chart="3" format="17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  <chartFormat chart="3" format="18">
      <pivotArea type="data" outline="0" fieldPosition="0">
        <references count="2">
          <reference field="4294967294" count="1" selected="0">
            <x v="0"/>
          </reference>
          <reference field="5" count="1" selected="0">
            <x v="2"/>
          </reference>
        </references>
      </pivotArea>
    </chartFormat>
    <chartFormat chart="3" format="19">
      <pivotArea type="data" outline="0" fieldPosition="0">
        <references count="2">
          <reference field="4294967294" count="1" selected="0">
            <x v="0"/>
          </reference>
          <reference field="5" count="1" selected="0">
            <x v="3"/>
          </reference>
        </references>
      </pivotArea>
    </chartFormat>
    <chartFormat chart="4" format="25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88C7FFE-53E9-4884-B4DA-FB0024DF9A0C}" name="PivotTable3" cacheId="14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5">
  <location ref="A3:B10" firstHeaderRow="1" firstDataRow="1" firstDataCol="1"/>
  <pivotFields count="9">
    <pivotField compact="0" outline="0" showAll="0"/>
    <pivotField compact="0" outline="0" showAll="0"/>
    <pivotField compact="0" outline="0" showAll="0"/>
    <pivotField axis="axisRow" compact="0" outline="0" showAll="0">
      <items count="7">
        <item x="4"/>
        <item x="2"/>
        <item x="0"/>
        <item x="3"/>
        <item x="1"/>
        <item x="5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</pivotFields>
  <rowFields count="1">
    <field x="3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Sum of Total_Sales" fld="8" baseField="0" baseItem="0"/>
  </dataFields>
  <chartFormats count="5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1393B72-05A3-4C91-A543-D6528D3F19CF}" name="PivotTable4" cacheId="14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3">
  <location ref="A3:B10" firstHeaderRow="1" firstDataRow="1" firstDataCol="1"/>
  <pivotFields count="9">
    <pivotField compact="0" outline="0" showAll="0"/>
    <pivotField compact="0" outline="0" showAll="0"/>
    <pivotField compact="0" outline="0" showAll="0"/>
    <pivotField axis="axisRow" compact="0" outline="0" showAll="0">
      <items count="7">
        <item x="4"/>
        <item x="2"/>
        <item x="0"/>
        <item x="3"/>
        <item x="1"/>
        <item x="5"/>
        <item t="default"/>
      </items>
    </pivotField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</pivotFields>
  <rowFields count="1">
    <field x="3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Sum of Quantity" fld="6" baseField="0" baseItem="0"/>
  </dataFields>
  <chartFormats count="9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1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Order__ID" xr10:uid="{CBF54FD5-6C50-4ED0-AF35-40EFE00ED759}" sourceName="Order _ID">
  <pivotTables>
    <pivotTable tabId="3" name="PivotTable2"/>
  </pivotTables>
  <data>
    <tabular pivotCacheId="594177872">
      <items count="12">
        <i x="0" s="1"/>
        <i x="1" s="1"/>
        <i x="2" s="1"/>
        <i x="3" s="1"/>
        <i x="4" s="1"/>
        <i x="5" s="1"/>
        <i x="6" s="1"/>
        <i x="7" s="1"/>
        <i x="8" s="1"/>
        <i x="9" s="1"/>
        <i x="10" s="1"/>
        <i x="11" s="1"/>
      </items>
    </tabular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Date" xr10:uid="{F47AE78E-03EE-4256-8657-C20D44CA7E10}" sourceName="Date">
  <pivotTables>
    <pivotTable tabId="3" name="PivotTable2"/>
  </pivotTables>
  <data>
    <tabular pivotCacheId="594177872">
      <items count="12">
        <i x="6" s="1"/>
        <i x="7" s="1"/>
        <i x="8" s="1"/>
        <i x="9" s="1"/>
        <i x="10" s="1"/>
        <i x="11" s="1"/>
        <i x="0" s="1"/>
        <i x="1" s="1"/>
        <i x="2" s="1"/>
        <i x="3" s="1"/>
        <i x="4" s="1"/>
        <i x="5" s="1"/>
      </items>
    </tabular>
  </data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Salesperson" xr10:uid="{10D43EB5-5227-4F73-B84B-C89C9D9A6D67}" sourceName="Salesperson">
  <pivotTables>
    <pivotTable tabId="3" name="PivotTable2"/>
  </pivotTables>
  <data>
    <tabular pivotCacheId="594177872">
      <items count="4">
        <i x="0" s="1"/>
        <i x="3" s="1"/>
        <i x="2" s="1"/>
        <i x="1" s="1"/>
      </items>
    </tabular>
  </data>
</slicerCacheDefinition>
</file>

<file path=xl/slicerCaches/slicerCache4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Product" xr10:uid="{EE0F66BC-5FCE-4BAB-A769-696C180ED350}" sourceName="Product">
  <pivotTables>
    <pivotTable tabId="3" name="PivotTable2"/>
  </pivotTables>
  <data>
    <tabular pivotCacheId="594177872">
      <items count="6">
        <i x="4" s="1"/>
        <i x="2" s="1"/>
        <i x="0" s="1"/>
        <i x="3" s="1"/>
        <i x="1" s="1"/>
        <i x="5" s="1"/>
      </items>
    </tabular>
  </data>
</slicerCacheDefinition>
</file>

<file path=xl/slicerCaches/slicerCache5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Category" xr10:uid="{A66DB8A9-B19D-4901-87F7-85C0C2853DEE}" sourceName="Category">
  <pivotTables>
    <pivotTable tabId="3" name="PivotTable2"/>
  </pivotTables>
  <data>
    <tabular pivotCacheId="594177872">
      <items count="2">
        <i x="1" s="1"/>
        <i x="0" s="1"/>
      </items>
    </tabular>
  </data>
</slicerCacheDefinition>
</file>

<file path=xl/slicerCaches/slicerCache6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Region" xr10:uid="{11D2775B-BA71-4677-9B2D-41AEADB7E49D}" sourceName="Region">
  <pivotTables>
    <pivotTable tabId="3" name="PivotTable2"/>
  </pivotTables>
  <data>
    <tabular pivotCacheId="594177872">
      <items count="4">
        <i x="2" s="1"/>
        <i x="1" s="1"/>
        <i x="0" s="1"/>
        <i x="3" s="1"/>
      </items>
    </tabular>
  </data>
</slicerCacheDefinition>
</file>

<file path=xl/slicerCaches/slicerCache7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Quantity" xr10:uid="{1C5EBD2A-7FF8-4703-B412-E4498074E878}" sourceName="Quantity">
  <pivotTables>
    <pivotTable tabId="3" name="PivotTable2"/>
  </pivotTables>
  <data>
    <tabular pivotCacheId="594177872">
      <items count="7">
        <i x="3" s="1"/>
        <i x="0" s="1"/>
        <i x="2" s="1"/>
        <i x="4" s="1"/>
        <i x="1" s="1"/>
        <i x="6" s="1"/>
        <i x="5" s="1"/>
      </items>
    </tabular>
  </data>
</slicerCacheDefinition>
</file>

<file path=xl/slicerCaches/slicerCache8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Unit_Price" xr10:uid="{233E0D26-8116-4847-B17C-ED1A6F20444C}" sourceName="Unit_Price">
  <pivotTables>
    <pivotTable tabId="3" name="PivotTable2"/>
  </pivotTables>
  <data>
    <tabular pivotCacheId="594177872">
      <items count="6">
        <i x="1" s="1"/>
        <i x="2" s="1"/>
        <i x="4" s="1"/>
        <i x="3" s="1"/>
        <i x="5" s="1"/>
        <i x="0" s="1"/>
      </items>
    </tabular>
  </data>
</slicerCacheDefinition>
</file>

<file path=xl/slicerCaches/slicerCache9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Total_Sales" xr10:uid="{FD225C04-FBB5-423E-B6B8-D18DD10ED461}" sourceName="Total_Sales">
  <pivotTables>
    <pivotTable tabId="3" name="PivotTable2"/>
  </pivotTables>
  <data>
    <tabular pivotCacheId="594177872">
      <items count="11">
        <i x="1" s="1"/>
        <i x="2" s="1"/>
        <i x="7" s="1"/>
        <i x="8" s="1"/>
        <i x="5" s="1"/>
        <i x="10" s="1"/>
        <i x="3" s="1"/>
        <i x="6" s="1"/>
        <i x="9" s="1"/>
        <i x="4" s="1"/>
        <i x="0" s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Order _ID" xr10:uid="{5BF8FFA9-46B8-4BF1-B3F3-9D791D0C29F7}" cache="Slicer_Order__ID" caption="Order _ID" startItem="3" rowHeight="228600"/>
  <slicer name="Date" xr10:uid="{3F25E9FA-206E-444E-8424-D235708C6837}" cache="Slicer_Date" caption="Date" rowHeight="228600"/>
  <slicer name="Salesperson" xr10:uid="{33E36202-F3C4-4010-B9C1-0DC17F0B9232}" cache="Slicer_Salesperson" caption="Salesperson" rowHeight="228600"/>
  <slicer name="Product" xr10:uid="{DC937DE7-E47B-4C57-9BB9-8C49C09524C3}" cache="Slicer_Product" caption="Product" rowHeight="228600"/>
  <slicer name="Category" xr10:uid="{14B2E8E6-948F-48DC-A2FB-E7E581222C42}" cache="Slicer_Category" caption="Category" rowHeight="228600"/>
  <slicer name="Region" xr10:uid="{5A37E3E2-4678-45E4-B522-D171B625A946}" cache="Slicer_Region" caption="Region" rowHeight="228600"/>
  <slicer name="Quantity" xr10:uid="{8E7CCE5D-EA14-4042-9B1F-F751666AE19B}" cache="Slicer_Quantity" caption="Quantity" rowHeight="228600"/>
  <slicer name="Unit_Price" xr10:uid="{169E9E5A-97A7-47DA-92C0-012F43FE79FA}" cache="Slicer_Unit_Price" caption="Unit_Price" rowHeight="228600"/>
  <slicer name="Total_Sales" xr10:uid="{6DDC0591-D73F-4770-A68E-A32E05A7CF5E}" cache="Slicer_Total_Sales" caption="Total_Sales" startItem="2" rowHeight="22860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7AECE1A-0469-46DE-93B7-23FAA30B326F}" name="Table2" displayName="Table2" ref="A3:P15" totalsRowShown="0">
  <autoFilter ref="A3:P15" xr:uid="{57AECE1A-0469-46DE-93B7-23FAA30B326F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</autoFilter>
  <tableColumns count="16">
    <tableColumn id="1" xr3:uid="{64EC2018-7082-4125-8884-ED2127BDCCC4}" name="Order _ID"/>
    <tableColumn id="2" xr3:uid="{99E07421-F756-498C-95CA-ABE2B2DDB39F}" name="Date"/>
    <tableColumn id="3" xr3:uid="{9EDD8CC4-CBF5-4CD9-A9D4-9BC3D6EF01C4}" name="Salesperson"/>
    <tableColumn id="4" xr3:uid="{B1A62B98-4703-4C3C-A565-1CDC5DDC7D2A}" name="Product"/>
    <tableColumn id="5" xr3:uid="{54B1EE41-EF86-44F3-A89F-21FD4D10C279}" name="Category"/>
    <tableColumn id="6" xr3:uid="{B1D6E936-BDB8-49D8-B789-BAEF07524589}" name="Region"/>
    <tableColumn id="7" xr3:uid="{807FE555-349E-4435-93C8-C54C4A450EC3}" name="Quantity"/>
    <tableColumn id="8" xr3:uid="{BE029250-5477-438D-81DC-810B74CA39AF}" name="Unit_Price"/>
    <tableColumn id="9" xr3:uid="{6D541BC5-594C-44D1-8799-36ACBA13E274}" name="Total_Sales"/>
    <tableColumn id="10" xr3:uid="{67C5EE46-7BAD-416C-B637-0AA7683E5F2E}" name="IF" dataDxfId="20">
      <calculatedColumnFormula>IF(I2&gt;=50000,"High","Low")</calculatedColumnFormula>
    </tableColumn>
    <tableColumn id="11" xr3:uid="{88B3A093-A58B-4711-8483-DBA60D8ED046}" name="IFS" dataDxfId="19">
      <calculatedColumnFormula array="1">_xlfn.IFS(
I2&gt;=75000,"Excellent",
I2&gt;=50000,"Good",
I2&gt;=25000,"Average",
I2&lt;25000,"Low"
)</calculatedColumnFormula>
    </tableColumn>
    <tableColumn id="12" xr3:uid="{18EE3C09-9D23-4EBB-B0A4-CA9729419B64}" name=" Total sales" dataDxfId="18">
      <calculatedColumnFormula>SUM(I2:I13)</calculatedColumnFormula>
    </tableColumn>
    <tableColumn id="13" xr3:uid="{B571C948-98D6-4E63-8E6D-019BACD7F8C1}" name="Total Orders" dataDxfId="17">
      <calculatedColumnFormula>COUNTA(A2:A13)</calculatedColumnFormula>
    </tableColumn>
    <tableColumn id="14" xr3:uid="{0FA094FD-4F51-46D4-9BDC-E2F5183E2A7B}" name="Total quantity" dataDxfId="16">
      <calculatedColumnFormula>SUM(G2:G13)</calculatedColumnFormula>
    </tableColumn>
    <tableColumn id="15" xr3:uid="{7C0D6BFE-F264-45A6-BCB0-C437BC71207E}" name="Maximum Sale" dataDxfId="15">
      <calculatedColumnFormula>MAX(I2:I13)</calculatedColumnFormula>
    </tableColumn>
    <tableColumn id="16" xr3:uid="{966B727E-AB4A-453F-A24B-3DFDCECC8A72}" name="Minimum Sale" dataDxfId="14">
      <calculatedColumnFormula>MIN(I2:I13)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728D3C29-A40A-455A-873C-2EA7E7DE8694}" name="Table3" displayName="Table3" ref="A1:E3" totalsRowCount="1">
  <autoFilter ref="A1:E2" xr:uid="{728D3C29-A40A-455A-873C-2EA7E7DE8694}"/>
  <tableColumns count="5">
    <tableColumn id="1" xr3:uid="{5DA99E1C-F5EC-4922-B4F7-F089008FBF83}" name="ID" dataDxfId="12" totalsRowDxfId="13">
      <extLst>
        <ext xmlns:xlmsforms="http://schemas.microsoft.com/office/spreadsheetml/2023/msForms" uri="{FCC71383-01E1-4257-9335-427F07BE8D7F}">
          <xlmsforms:question id="id"/>
        </ext>
      </extLst>
    </tableColumn>
    <tableColumn id="2" xr3:uid="{99798B2C-AADE-4D55-8563-3582ED355708}" name="Start time" dataDxfId="10" totalsRowDxfId="11">
      <extLst>
        <ext xmlns:xlmsforms="http://schemas.microsoft.com/office/spreadsheetml/2023/msForms" uri="{FCC71383-01E1-4257-9335-427F07BE8D7F}">
          <xlmsforms:question id="startDate"/>
        </ext>
      </extLst>
    </tableColumn>
    <tableColumn id="3" xr3:uid="{588549C9-33B9-461B-9D2B-2E191E7F69E3}" name="Completion time" dataDxfId="8" totalsRowDxfId="9">
      <extLst>
        <ext xmlns:xlmsforms="http://schemas.microsoft.com/office/spreadsheetml/2023/msForms" uri="{FCC71383-01E1-4257-9335-427F07BE8D7F}">
          <xlmsforms:question id="submitDate"/>
        </ext>
      </extLst>
    </tableColumn>
    <tableColumn id="4" xr3:uid="{B4E45C70-3546-4935-B1C1-9D0ED20B442E}" name="Email" dataDxfId="6" totalsRowDxfId="7">
      <extLst>
        <ext xmlns:xlmsforms="http://schemas.microsoft.com/office/spreadsheetml/2023/msForms" uri="{FCC71383-01E1-4257-9335-427F07BE8D7F}">
          <xlmsforms:question id="responder"/>
        </ext>
      </extLst>
    </tableColumn>
    <tableColumn id="5" xr3:uid="{ADD9A10F-C679-4E6C-AD99-02A88B83A951}" name="Name" dataDxfId="4" totalsRowDxfId="5">
      <extLst>
        <ext xmlns:xlmsforms="http://schemas.microsoft.com/office/spreadsheetml/2023/msForms" uri="{FCC71383-01E1-4257-9335-427F07BE8D7F}">
          <xlmsforms:question id="responderName"/>
        </ext>
      </extLst>
    </tableColumn>
  </tableColumns>
  <tableStyleInfo name="TableStyleMedium2" showFirstColumn="0" showLastColumn="0" showRowStripes="1" showColumnStripes="0"/>
  <extLst>
    <ext xmlns:xlmsforms="http://schemas.microsoft.com/office/spreadsheetml/2023/msForms" uri="{839C7E11-91E4-4DBD-9C5D-0DEA604FA9AC}">
      <xlmsforms:msForm id="mAKkgZWbRkSBwKAxH8z98lZ0d3EpQFdJmjrctJ3Ay1JUNDNONzUwRUtCNzNEU1hBNERDWUgwWUNTSS4u" isFormConnected="1" maxResponseId="0" latestEventMarker="0">
        <xlmsforms:syncedQuestionId>id</xlmsforms:syncedQuestionId>
        <xlmsforms:syncedQuestionId>startDate</xlmsforms:syncedQuestionId>
        <xlmsforms:syncedQuestionId>submitDate</xlmsforms:syncedQuestionId>
        <xlmsforms:syncedQuestionId>responder</xlmsforms:syncedQuestionId>
        <xlmsforms:syncedQuestionId>responderName</xlmsforms:syncedQuestionId>
      </xlmsforms:msForm>
    </ext>
  </extLst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BF2E42F-27D1-4283-894E-B721D19DE17F}" name="Table1" displayName="Table1" ref="A1:I14" totalsRowCount="1" headerRowDxfId="3">
  <autoFilter ref="A1:I13" xr:uid="{5BF2E42F-27D1-4283-894E-B721D19DE17F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</autoFilter>
  <tableColumns count="9">
    <tableColumn id="1" xr3:uid="{A525DD2F-8BD6-42DF-8C77-B2310994A867}" name="Order ID" totalsRowFunction="custom" totalsRowDxfId="2">
      <totalsRowFormula>COUNTA(Table1[Order ID])</totalsRowFormula>
    </tableColumn>
    <tableColumn id="2" xr3:uid="{F23C4E34-0DDF-4EF9-8BA5-29ADC67FF9B4}" name="Date"/>
    <tableColumn id="3" xr3:uid="{0C180B39-9A2F-4307-90DE-F6875E4DB899}" name="Salesperson"/>
    <tableColumn id="4" xr3:uid="{4DC9A836-AE21-482F-AD03-58739B010083}" name="Product"/>
    <tableColumn id="5" xr3:uid="{BC7C97E6-3288-49BD-AC9D-0EACF6BE2565}" name="Category"/>
    <tableColumn id="6" xr3:uid="{0EABD419-2CF2-449C-A44D-A225A0D7C4F8}" name="Region"/>
    <tableColumn id="7" xr3:uid="{9FDE333E-C689-4A5E-87C3-48169D9C651E}" name="Quantity" totalsRowFunction="custom" totalsRowDxfId="1">
      <totalsRowFormula>SUM(Table1[Quantity])</totalsRowFormula>
    </tableColumn>
    <tableColumn id="8" xr3:uid="{A2DD19E5-188E-4C92-AFCA-ABF3F59BB5DF}" name="Unit_Price"/>
    <tableColumn id="9" xr3:uid="{1C73CC74-B56B-4711-A2DD-5E14C7557D18}" name="Total_Sales" totalsRowFunction="custom" totalsRowDxfId="0">
      <totalsRowFormula>SUM(Table1[Total_Sales])</totalsRow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hyperlink" Target="mailto:priyam@gmail.com" TargetMode="Externa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FB0F1C-0378-485A-B408-CCE29A14AC6A}">
  <dimension ref="A3:D8"/>
  <sheetViews>
    <sheetView workbookViewId="0">
      <selection activeCell="C14" sqref="C14"/>
    </sheetView>
  </sheetViews>
  <sheetFormatPr defaultRowHeight="15"/>
  <cols>
    <col min="1" max="1" width="15.28515625" bestFit="1" customWidth="1"/>
    <col min="2" max="2" width="18.140625" bestFit="1" customWidth="1"/>
  </cols>
  <sheetData>
    <row r="3" spans="1:4">
      <c r="A3" s="3" t="s">
        <v>0</v>
      </c>
      <c r="B3" t="s">
        <v>1</v>
      </c>
    </row>
    <row r="4" spans="1:4">
      <c r="A4" t="s">
        <v>2</v>
      </c>
      <c r="B4">
        <v>174000</v>
      </c>
    </row>
    <row r="5" spans="1:4">
      <c r="A5" t="s">
        <v>3</v>
      </c>
      <c r="B5">
        <v>44500</v>
      </c>
      <c r="D5" s="4" t="b">
        <v>0</v>
      </c>
    </row>
    <row r="6" spans="1:4">
      <c r="A6" t="s">
        <v>4</v>
      </c>
      <c r="B6">
        <v>144500</v>
      </c>
    </row>
    <row r="7" spans="1:4">
      <c r="A7" t="s">
        <v>5</v>
      </c>
      <c r="B7">
        <v>50000</v>
      </c>
    </row>
    <row r="8" spans="1:4">
      <c r="A8" t="s">
        <v>6</v>
      </c>
      <c r="B8">
        <v>413000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54DC31-7AAA-47DF-86F2-E3D3887F1243}">
  <dimension ref="A3:B8"/>
  <sheetViews>
    <sheetView tabSelected="1" topLeftCell="A10" workbookViewId="0">
      <selection activeCell="E20" sqref="E20"/>
    </sheetView>
  </sheetViews>
  <sheetFormatPr defaultRowHeight="15"/>
  <cols>
    <col min="1" max="1" width="11.42578125" bestFit="1" customWidth="1"/>
    <col min="2" max="2" width="18.140625" bestFit="1" customWidth="1"/>
  </cols>
  <sheetData>
    <row r="3" spans="1:2">
      <c r="A3" s="3" t="s">
        <v>7</v>
      </c>
      <c r="B3" t="s">
        <v>1</v>
      </c>
    </row>
    <row r="4" spans="1:2">
      <c r="A4" t="s">
        <v>8</v>
      </c>
      <c r="B4" s="15">
        <v>144500</v>
      </c>
    </row>
    <row r="5" spans="1:2">
      <c r="A5" t="s">
        <v>9</v>
      </c>
      <c r="B5" s="15">
        <v>50000</v>
      </c>
    </row>
    <row r="6" spans="1:2">
      <c r="A6" t="s">
        <v>10</v>
      </c>
      <c r="B6" s="15">
        <v>174000</v>
      </c>
    </row>
    <row r="7" spans="1:2">
      <c r="A7" t="s">
        <v>11</v>
      </c>
      <c r="B7" s="15">
        <v>44500</v>
      </c>
    </row>
    <row r="8" spans="1:2">
      <c r="A8" t="s">
        <v>6</v>
      </c>
      <c r="B8" s="15">
        <v>413000</v>
      </c>
    </row>
  </sheetData>
  <pageMargins left="0.7" right="0.7" top="0.75" bottom="0.75" header="0.3" footer="0.3"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D13B56-1DB2-47A1-A66F-68BA58E6C305}">
  <dimension ref="A3:B10"/>
  <sheetViews>
    <sheetView workbookViewId="0">
      <selection activeCell="B6" sqref="B6"/>
    </sheetView>
  </sheetViews>
  <sheetFormatPr defaultRowHeight="15"/>
  <cols>
    <col min="1" max="1" width="12" bestFit="1" customWidth="1"/>
    <col min="2" max="2" width="18.140625" bestFit="1" customWidth="1"/>
  </cols>
  <sheetData>
    <row r="3" spans="1:2">
      <c r="A3" s="3" t="s">
        <v>12</v>
      </c>
      <c r="B3" t="s">
        <v>1</v>
      </c>
    </row>
    <row r="4" spans="1:2">
      <c r="A4" t="s">
        <v>13</v>
      </c>
      <c r="B4">
        <v>22500</v>
      </c>
    </row>
    <row r="5" spans="1:2">
      <c r="A5" t="s">
        <v>14</v>
      </c>
      <c r="B5">
        <v>13500</v>
      </c>
    </row>
    <row r="6" spans="1:2">
      <c r="A6" t="s">
        <v>15</v>
      </c>
      <c r="B6">
        <v>275000</v>
      </c>
    </row>
    <row r="7" spans="1:2">
      <c r="A7" t="s">
        <v>16</v>
      </c>
      <c r="B7">
        <v>60000</v>
      </c>
    </row>
    <row r="8" spans="1:2">
      <c r="A8" t="s">
        <v>17</v>
      </c>
      <c r="B8">
        <v>12000</v>
      </c>
    </row>
    <row r="9" spans="1:2">
      <c r="A9" t="s">
        <v>18</v>
      </c>
      <c r="B9">
        <v>30000</v>
      </c>
    </row>
    <row r="10" spans="1:2">
      <c r="A10" t="s">
        <v>6</v>
      </c>
      <c r="B10">
        <v>413000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578863-C8D9-4E59-8CC3-F56E7DDDFD2F}">
  <dimension ref="A1:P23"/>
  <sheetViews>
    <sheetView topLeftCell="B1" workbookViewId="0">
      <selection activeCell="C10" sqref="C10"/>
    </sheetView>
  </sheetViews>
  <sheetFormatPr defaultRowHeight="15"/>
  <cols>
    <col min="1" max="1" width="11.7109375" bestFit="1" customWidth="1"/>
    <col min="2" max="2" width="11.140625" bestFit="1" customWidth="1"/>
    <col min="3" max="3" width="14.42578125" bestFit="1" customWidth="1"/>
    <col min="4" max="4" width="12" bestFit="1" customWidth="1"/>
    <col min="5" max="5" width="11.42578125" bestFit="1" customWidth="1"/>
    <col min="6" max="6" width="9.42578125" bestFit="1" customWidth="1"/>
    <col min="7" max="7" width="11" bestFit="1" customWidth="1"/>
    <col min="8" max="8" width="12.5703125" bestFit="1" customWidth="1"/>
    <col min="9" max="9" width="13.5703125" bestFit="1" customWidth="1"/>
    <col min="11" max="11" width="18.7109375" customWidth="1"/>
    <col min="12" max="12" width="15.42578125" customWidth="1"/>
    <col min="13" max="13" width="14.42578125" customWidth="1"/>
    <col min="14" max="14" width="15.28515625" customWidth="1"/>
    <col min="15" max="15" width="21.140625" customWidth="1"/>
    <col min="16" max="16" width="16.85546875" customWidth="1"/>
  </cols>
  <sheetData>
    <row r="1" spans="1:16">
      <c r="A1" s="1" t="s">
        <v>19</v>
      </c>
    </row>
    <row r="3" spans="1:16">
      <c r="A3" t="s">
        <v>20</v>
      </c>
      <c r="B3" t="s">
        <v>21</v>
      </c>
      <c r="C3" t="s">
        <v>0</v>
      </c>
      <c r="D3" t="s">
        <v>12</v>
      </c>
      <c r="E3" t="s">
        <v>22</v>
      </c>
      <c r="F3" t="s">
        <v>7</v>
      </c>
      <c r="G3" t="s">
        <v>23</v>
      </c>
      <c r="H3" t="s">
        <v>24</v>
      </c>
      <c r="I3" t="s">
        <v>25</v>
      </c>
      <c r="J3" t="s">
        <v>26</v>
      </c>
      <c r="K3" t="s">
        <v>27</v>
      </c>
      <c r="L3" t="s">
        <v>28</v>
      </c>
      <c r="M3" t="s">
        <v>29</v>
      </c>
      <c r="N3" t="s">
        <v>30</v>
      </c>
      <c r="O3" t="s">
        <v>31</v>
      </c>
      <c r="P3" t="s">
        <v>32</v>
      </c>
    </row>
    <row r="4" spans="1:16">
      <c r="A4" t="s">
        <v>33</v>
      </c>
      <c r="B4" s="2">
        <v>46357</v>
      </c>
      <c r="C4" t="s">
        <v>5</v>
      </c>
      <c r="D4" t="s">
        <v>13</v>
      </c>
      <c r="E4" t="s">
        <v>34</v>
      </c>
      <c r="F4" t="s">
        <v>9</v>
      </c>
      <c r="G4">
        <v>4</v>
      </c>
      <c r="H4">
        <v>2500</v>
      </c>
      <c r="I4">
        <v>10000</v>
      </c>
      <c r="J4" t="str">
        <f t="shared" ref="J4:J15" si="0">IF(I2&gt;=50000,"High","Low")</f>
        <v>Low</v>
      </c>
      <c r="K4" t="str" cm="1">
        <f t="array" ref="K4">_xlfn.IFS(
I2&gt;=75000,"Excellent",
I2&gt;=50000,"Good",
I2&gt;=25000,"Average",
I2&lt;25000,"Low"
)</f>
        <v>Low</v>
      </c>
      <c r="L4">
        <f t="shared" ref="L4:L15" si="1">SUM(I2:I13)</f>
        <v>375000</v>
      </c>
      <c r="M4">
        <f t="shared" ref="M4:M15" si="2">COUNTA(A2:A13)</f>
        <v>11</v>
      </c>
      <c r="N4">
        <v>33</v>
      </c>
      <c r="O4">
        <f t="shared" ref="O4:O15" si="3">MAX(I2:I13)</f>
        <v>110000</v>
      </c>
      <c r="P4">
        <f t="shared" ref="P4:P15" si="4">MIN(I2:I13)</f>
        <v>4000</v>
      </c>
    </row>
    <row r="5" spans="1:16">
      <c r="A5" t="s">
        <v>35</v>
      </c>
      <c r="B5" t="s">
        <v>36</v>
      </c>
      <c r="C5" t="s">
        <v>3</v>
      </c>
      <c r="D5" t="s">
        <v>13</v>
      </c>
      <c r="E5" t="s">
        <v>34</v>
      </c>
      <c r="F5" t="s">
        <v>11</v>
      </c>
      <c r="G5">
        <v>5</v>
      </c>
      <c r="H5">
        <v>2500</v>
      </c>
      <c r="I5">
        <v>12500</v>
      </c>
      <c r="J5" t="str">
        <f t="shared" si="0"/>
        <v>High</v>
      </c>
      <c r="K5" t="str" cm="1">
        <f t="array" ref="K5">_xlfn.IFS(
I3&gt;=75000,"Excellent",
I3&gt;=50000,"Good",
I3&gt;=25000,"Average",
I3&lt;25000,"Low"
)</f>
        <v>Excellent</v>
      </c>
      <c r="L5">
        <f t="shared" si="1"/>
        <v>383000</v>
      </c>
      <c r="M5">
        <f t="shared" si="2"/>
        <v>12</v>
      </c>
      <c r="N5">
        <f t="shared" ref="N4:N15" si="5">SUM(G3:G14)</f>
        <v>43</v>
      </c>
      <c r="O5">
        <f t="shared" si="3"/>
        <v>110000</v>
      </c>
      <c r="P5">
        <f t="shared" si="4"/>
        <v>4000</v>
      </c>
    </row>
    <row r="6" spans="1:16">
      <c r="A6" t="s">
        <v>37</v>
      </c>
      <c r="B6" s="2">
        <v>46143</v>
      </c>
      <c r="C6" t="s">
        <v>4</v>
      </c>
      <c r="D6" t="s">
        <v>14</v>
      </c>
      <c r="E6" t="s">
        <v>34</v>
      </c>
      <c r="F6" t="s">
        <v>8</v>
      </c>
      <c r="G6">
        <v>3</v>
      </c>
      <c r="H6">
        <v>1500</v>
      </c>
      <c r="I6">
        <v>4500</v>
      </c>
      <c r="J6" t="str">
        <f t="shared" si="0"/>
        <v>Low</v>
      </c>
      <c r="K6" t="str" cm="1">
        <f t="array" ref="K6">_xlfn.IFS(
I4&gt;=75000,"Excellent",
I4&gt;=50000,"Good",
I4&gt;=25000,"Average",
I4&lt;25000,"Low"
)</f>
        <v>Low</v>
      </c>
      <c r="L6">
        <f t="shared" si="1"/>
        <v>413000</v>
      </c>
      <c r="M6">
        <f t="shared" si="2"/>
        <v>12</v>
      </c>
      <c r="N6">
        <f t="shared" si="5"/>
        <v>45</v>
      </c>
      <c r="O6">
        <f t="shared" si="3"/>
        <v>110000</v>
      </c>
      <c r="P6">
        <f t="shared" si="4"/>
        <v>4000</v>
      </c>
    </row>
    <row r="7" spans="1:16">
      <c r="A7" t="s">
        <v>38</v>
      </c>
      <c r="B7" t="s">
        <v>39</v>
      </c>
      <c r="C7" t="s">
        <v>2</v>
      </c>
      <c r="D7" t="s">
        <v>14</v>
      </c>
      <c r="E7" t="s">
        <v>34</v>
      </c>
      <c r="F7" t="s">
        <v>10</v>
      </c>
      <c r="G7">
        <v>6</v>
      </c>
      <c r="H7">
        <v>1500</v>
      </c>
      <c r="I7">
        <v>9000</v>
      </c>
      <c r="J7" t="str">
        <f t="shared" si="0"/>
        <v>Low</v>
      </c>
      <c r="K7" t="str" cm="1">
        <f t="array" ref="K7">_xlfn.IFS(
I5&gt;=75000,"Excellent",
I5&gt;=50000,"Good",
I5&gt;=25000,"Average",
I5&lt;25000,"Low"
)</f>
        <v>Low</v>
      </c>
      <c r="L7">
        <f t="shared" si="1"/>
        <v>403000</v>
      </c>
      <c r="M7">
        <f t="shared" si="2"/>
        <v>11</v>
      </c>
      <c r="N7">
        <f t="shared" si="5"/>
        <v>41</v>
      </c>
      <c r="O7">
        <f t="shared" si="3"/>
        <v>110000</v>
      </c>
      <c r="P7">
        <f t="shared" si="4"/>
        <v>4000</v>
      </c>
    </row>
    <row r="8" spans="1:16">
      <c r="A8" t="s">
        <v>40</v>
      </c>
      <c r="B8" s="2">
        <v>46023</v>
      </c>
      <c r="C8" t="s">
        <v>2</v>
      </c>
      <c r="D8" t="s">
        <v>15</v>
      </c>
      <c r="E8" t="s">
        <v>41</v>
      </c>
      <c r="F8" t="s">
        <v>10</v>
      </c>
      <c r="G8">
        <v>2</v>
      </c>
      <c r="H8">
        <v>55000</v>
      </c>
      <c r="I8">
        <v>110000</v>
      </c>
      <c r="J8" t="str">
        <f t="shared" si="0"/>
        <v>Low</v>
      </c>
      <c r="K8" t="str" cm="1">
        <f t="array" ref="K8">_xlfn.IFS(
I6&gt;=75000,"Excellent",
I6&gt;=50000,"Good",
I6&gt;=25000,"Average",
I6&lt;25000,"Low"
)</f>
        <v>Low</v>
      </c>
      <c r="L8">
        <f t="shared" si="1"/>
        <v>390500</v>
      </c>
      <c r="M8">
        <f t="shared" si="2"/>
        <v>10</v>
      </c>
      <c r="N8">
        <f t="shared" si="5"/>
        <v>36</v>
      </c>
      <c r="O8">
        <f t="shared" si="3"/>
        <v>110000</v>
      </c>
      <c r="P8">
        <f t="shared" si="4"/>
        <v>4000</v>
      </c>
    </row>
    <row r="9" spans="1:16">
      <c r="A9" t="s">
        <v>42</v>
      </c>
      <c r="B9" s="2">
        <v>46296</v>
      </c>
      <c r="C9" t="s">
        <v>2</v>
      </c>
      <c r="D9" t="s">
        <v>15</v>
      </c>
      <c r="E9" t="s">
        <v>41</v>
      </c>
      <c r="F9" t="s">
        <v>10</v>
      </c>
      <c r="G9">
        <v>1</v>
      </c>
      <c r="H9">
        <v>55000</v>
      </c>
      <c r="I9">
        <v>55000</v>
      </c>
      <c r="J9" t="str">
        <f t="shared" si="0"/>
        <v>Low</v>
      </c>
      <c r="K9" t="str" cm="1">
        <f t="array" ref="K9">_xlfn.IFS(
I7&gt;=75000,"Excellent",
I7&gt;=50000,"Good",
I7&gt;=25000,"Average",
I7&lt;25000,"Low"
)</f>
        <v>Low</v>
      </c>
      <c r="L9">
        <f t="shared" si="1"/>
        <v>386000</v>
      </c>
      <c r="M9">
        <f t="shared" si="2"/>
        <v>9</v>
      </c>
      <c r="N9">
        <f t="shared" si="5"/>
        <v>33</v>
      </c>
      <c r="O9">
        <f t="shared" si="3"/>
        <v>110000</v>
      </c>
      <c r="P9">
        <f t="shared" si="4"/>
        <v>4000</v>
      </c>
    </row>
    <row r="10" spans="1:16">
      <c r="A10" t="s">
        <v>43</v>
      </c>
      <c r="B10" t="s">
        <v>44</v>
      </c>
      <c r="C10" t="s">
        <v>4</v>
      </c>
      <c r="D10" t="s">
        <v>15</v>
      </c>
      <c r="E10" t="s">
        <v>41</v>
      </c>
      <c r="F10" t="s">
        <v>8</v>
      </c>
      <c r="G10">
        <v>2</v>
      </c>
      <c r="H10">
        <v>55000</v>
      </c>
      <c r="I10">
        <v>110000</v>
      </c>
      <c r="J10" t="str">
        <f t="shared" si="0"/>
        <v>High</v>
      </c>
      <c r="K10" t="str" cm="1">
        <f t="array" ref="K10">_xlfn.IFS(
I8&gt;=75000,"Excellent",
I8&gt;=50000,"Good",
I8&gt;=25000,"Average",
I8&lt;25000,"Low"
)</f>
        <v>Excellent</v>
      </c>
      <c r="L10">
        <f t="shared" si="1"/>
        <v>377000</v>
      </c>
      <c r="M10">
        <f t="shared" si="2"/>
        <v>9</v>
      </c>
      <c r="N10">
        <f t="shared" si="5"/>
        <v>27</v>
      </c>
      <c r="O10">
        <f t="shared" si="3"/>
        <v>110000</v>
      </c>
      <c r="P10">
        <f t="shared" si="4"/>
        <v>4000</v>
      </c>
    </row>
    <row r="11" spans="1:16">
      <c r="A11" t="s">
        <v>45</v>
      </c>
      <c r="B11" s="2">
        <v>46235</v>
      </c>
      <c r="C11" t="s">
        <v>3</v>
      </c>
      <c r="D11" t="s">
        <v>16</v>
      </c>
      <c r="E11" t="s">
        <v>41</v>
      </c>
      <c r="F11" t="s">
        <v>11</v>
      </c>
      <c r="G11">
        <v>2</v>
      </c>
      <c r="H11">
        <v>12000</v>
      </c>
      <c r="I11">
        <v>24000</v>
      </c>
      <c r="J11" t="str">
        <f t="shared" si="0"/>
        <v>High</v>
      </c>
      <c r="K11" t="str" cm="1">
        <f t="array" ref="K11">_xlfn.IFS(
I9&gt;=75000,"Excellent",
I9&gt;=50000,"Good",
I9&gt;=25000,"Average",
I9&lt;25000,"Low"
)</f>
        <v>Good</v>
      </c>
      <c r="L11">
        <f t="shared" si="1"/>
        <v>267000</v>
      </c>
      <c r="M11">
        <f t="shared" si="2"/>
        <v>9</v>
      </c>
      <c r="N11">
        <f t="shared" si="5"/>
        <v>25</v>
      </c>
      <c r="O11">
        <f t="shared" si="3"/>
        <v>110000</v>
      </c>
      <c r="P11">
        <f t="shared" si="4"/>
        <v>4000</v>
      </c>
    </row>
    <row r="12" spans="1:16">
      <c r="A12" t="s">
        <v>46</v>
      </c>
      <c r="B12" t="s">
        <v>47</v>
      </c>
      <c r="C12" t="s">
        <v>5</v>
      </c>
      <c r="D12" t="s">
        <v>16</v>
      </c>
      <c r="E12" t="s">
        <v>41</v>
      </c>
      <c r="F12" t="s">
        <v>9</v>
      </c>
      <c r="G12">
        <v>3</v>
      </c>
      <c r="H12">
        <v>12000</v>
      </c>
      <c r="I12">
        <v>36000</v>
      </c>
      <c r="J12" t="str">
        <f t="shared" si="0"/>
        <v>High</v>
      </c>
      <c r="K12" t="str" cm="1">
        <f t="array" ref="K12">_xlfn.IFS(
I10&gt;=75000,"Excellent",
I10&gt;=50000,"Good",
I10&gt;=25000,"Average",
I10&lt;25000,"Low"
)</f>
        <v>Excellent</v>
      </c>
      <c r="L12">
        <f t="shared" si="1"/>
        <v>212000</v>
      </c>
      <c r="M12">
        <f t="shared" si="2"/>
        <v>9</v>
      </c>
      <c r="N12">
        <f t="shared" si="5"/>
        <v>24</v>
      </c>
      <c r="O12">
        <f t="shared" si="3"/>
        <v>110000</v>
      </c>
      <c r="P12">
        <f t="shared" si="4"/>
        <v>4000</v>
      </c>
    </row>
    <row r="13" spans="1:16">
      <c r="A13" t="s">
        <v>48</v>
      </c>
      <c r="B13" s="2">
        <v>46082</v>
      </c>
      <c r="C13" t="s">
        <v>5</v>
      </c>
      <c r="D13" t="s">
        <v>17</v>
      </c>
      <c r="E13" t="s">
        <v>34</v>
      </c>
      <c r="F13" t="s">
        <v>9</v>
      </c>
      <c r="G13">
        <v>5</v>
      </c>
      <c r="H13">
        <v>800</v>
      </c>
      <c r="I13">
        <v>4000</v>
      </c>
      <c r="J13" t="str">
        <f t="shared" si="0"/>
        <v>Low</v>
      </c>
      <c r="K13" t="str" cm="1">
        <f t="array" ref="K13">_xlfn.IFS(
I11&gt;=75000,"Excellent",
I11&gt;=50000,"Good",
I11&gt;=25000,"Average",
I11&lt;25000,"Low"
)</f>
        <v>Low</v>
      </c>
      <c r="L13">
        <f t="shared" si="1"/>
        <v>102000</v>
      </c>
      <c r="M13">
        <f t="shared" si="2"/>
        <v>9</v>
      </c>
      <c r="N13">
        <f t="shared" si="5"/>
        <v>22</v>
      </c>
      <c r="O13">
        <f t="shared" si="3"/>
        <v>36000</v>
      </c>
      <c r="P13">
        <f t="shared" si="4"/>
        <v>4000</v>
      </c>
    </row>
    <row r="14" spans="1:16">
      <c r="A14" t="s">
        <v>49</v>
      </c>
      <c r="B14" t="s">
        <v>50</v>
      </c>
      <c r="C14" t="s">
        <v>3</v>
      </c>
      <c r="D14" t="s">
        <v>17</v>
      </c>
      <c r="E14" t="s">
        <v>34</v>
      </c>
      <c r="F14" t="s">
        <v>11</v>
      </c>
      <c r="G14">
        <v>10</v>
      </c>
      <c r="H14">
        <v>800</v>
      </c>
      <c r="I14">
        <v>8000</v>
      </c>
      <c r="J14" t="str">
        <f t="shared" si="0"/>
        <v>Low</v>
      </c>
      <c r="K14" t="str" cm="1">
        <f t="array" ref="K14">_xlfn.IFS(
I12&gt;=75000,"Excellent",
I12&gt;=50000,"Good",
I12&gt;=25000,"Average",
I12&lt;25000,"Low"
)</f>
        <v>Average</v>
      </c>
      <c r="L14">
        <f t="shared" si="1"/>
        <v>78000</v>
      </c>
      <c r="M14">
        <f t="shared" si="2"/>
        <v>9</v>
      </c>
      <c r="N14">
        <f t="shared" si="5"/>
        <v>20</v>
      </c>
      <c r="O14">
        <f t="shared" si="3"/>
        <v>36000</v>
      </c>
      <c r="P14">
        <f t="shared" si="4"/>
        <v>4000</v>
      </c>
    </row>
    <row r="15" spans="1:16">
      <c r="A15" t="s">
        <v>51</v>
      </c>
      <c r="B15" t="s">
        <v>52</v>
      </c>
      <c r="C15" t="s">
        <v>4</v>
      </c>
      <c r="D15" t="s">
        <v>18</v>
      </c>
      <c r="E15" t="s">
        <v>41</v>
      </c>
      <c r="F15" t="s">
        <v>8</v>
      </c>
      <c r="G15">
        <v>2</v>
      </c>
      <c r="H15">
        <v>15000</v>
      </c>
      <c r="I15">
        <v>30000</v>
      </c>
      <c r="J15" t="str">
        <f t="shared" si="0"/>
        <v>Low</v>
      </c>
      <c r="K15" t="str" cm="1">
        <f t="array" ref="K15">_xlfn.IFS(
I13&gt;=75000,"Excellent",
I13&gt;=50000,"Good",
I13&gt;=25000,"Average",
I13&lt;25000,"Low"
)</f>
        <v>Low</v>
      </c>
      <c r="L15">
        <f t="shared" si="1"/>
        <v>42000</v>
      </c>
      <c r="M15">
        <f t="shared" si="2"/>
        <v>8</v>
      </c>
      <c r="N15">
        <f t="shared" si="5"/>
        <v>17</v>
      </c>
      <c r="O15">
        <f t="shared" si="3"/>
        <v>30000</v>
      </c>
      <c r="P15">
        <f t="shared" si="4"/>
        <v>4000</v>
      </c>
    </row>
    <row r="17" spans="1:2">
      <c r="B17" t="str">
        <f>IF(I2&gt;=50000,"High","Low")</f>
        <v>Low</v>
      </c>
    </row>
    <row r="19" spans="1:2">
      <c r="A19" t="str">
        <f>TRIM(C2)</f>
        <v/>
      </c>
    </row>
    <row r="20" spans="1:2">
      <c r="A20" t="str">
        <f>PROPER(C2)</f>
        <v/>
      </c>
    </row>
    <row r="21" spans="1:2">
      <c r="A21" t="b">
        <f>ISNUMBER(H2)</f>
        <v>0</v>
      </c>
    </row>
    <row r="22" spans="1:2">
      <c r="A22">
        <f>VALUE(H2)</f>
        <v>0</v>
      </c>
    </row>
    <row r="23" spans="1:2">
      <c r="A23">
        <f>COUNTBLANK(C2:C13)</f>
        <v>1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E76753-1717-44BE-A39E-8519A9339AE0}">
  <dimension ref="A3:B10"/>
  <sheetViews>
    <sheetView workbookViewId="0">
      <selection activeCell="E3" sqref="E3"/>
    </sheetView>
  </sheetViews>
  <sheetFormatPr defaultRowHeight="15"/>
  <cols>
    <col min="1" max="1" width="12" bestFit="1" customWidth="1"/>
    <col min="2" max="2" width="15.42578125" bestFit="1" customWidth="1"/>
  </cols>
  <sheetData>
    <row r="3" spans="1:2">
      <c r="A3" s="3" t="s">
        <v>12</v>
      </c>
      <c r="B3" t="s">
        <v>53</v>
      </c>
    </row>
    <row r="4" spans="1:2">
      <c r="A4" t="s">
        <v>13</v>
      </c>
      <c r="B4">
        <v>9</v>
      </c>
    </row>
    <row r="5" spans="1:2">
      <c r="A5" t="s">
        <v>14</v>
      </c>
      <c r="B5">
        <v>9</v>
      </c>
    </row>
    <row r="6" spans="1:2">
      <c r="A6" t="s">
        <v>15</v>
      </c>
      <c r="B6">
        <v>5</v>
      </c>
    </row>
    <row r="7" spans="1:2">
      <c r="A7" t="s">
        <v>16</v>
      </c>
      <c r="B7">
        <v>5</v>
      </c>
    </row>
    <row r="8" spans="1:2">
      <c r="A8" t="s">
        <v>17</v>
      </c>
      <c r="B8">
        <v>15</v>
      </c>
    </row>
    <row r="9" spans="1:2">
      <c r="A9" t="s">
        <v>18</v>
      </c>
      <c r="B9">
        <v>2</v>
      </c>
    </row>
    <row r="10" spans="1:2">
      <c r="A10" t="s">
        <v>6</v>
      </c>
      <c r="B10">
        <v>45</v>
      </c>
    </row>
  </sheetData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7B5CF8-EECA-415C-9A37-4F198D9039D7}">
  <dimension ref="A1:I64"/>
  <sheetViews>
    <sheetView topLeftCell="A34" workbookViewId="0">
      <selection activeCell="A63" sqref="A63"/>
    </sheetView>
  </sheetViews>
  <sheetFormatPr defaultRowHeight="15"/>
  <cols>
    <col min="1" max="1" width="17" customWidth="1"/>
    <col min="2" max="2" width="15" customWidth="1"/>
    <col min="3" max="3" width="18.85546875" customWidth="1"/>
    <col min="4" max="4" width="13.85546875" customWidth="1"/>
    <col min="5" max="5" width="19" customWidth="1"/>
    <col min="6" max="6" width="14.140625" customWidth="1"/>
    <col min="9" max="9" width="12.28515625" customWidth="1"/>
  </cols>
  <sheetData>
    <row r="1" spans="1:9">
      <c r="A1" s="1"/>
      <c r="B1" s="1"/>
      <c r="C1" s="1"/>
      <c r="D1" s="1"/>
      <c r="E1" s="1"/>
      <c r="F1" s="1"/>
      <c r="G1" s="1"/>
      <c r="H1" s="1"/>
      <c r="I1" s="1"/>
    </row>
    <row r="2" spans="1:9" ht="21">
      <c r="B2" s="20" t="s">
        <v>54</v>
      </c>
      <c r="C2" s="19" t="s">
        <v>55</v>
      </c>
      <c r="D2" s="19" t="s">
        <v>56</v>
      </c>
      <c r="E2" s="19" t="s">
        <v>57</v>
      </c>
    </row>
    <row r="3" spans="1:9" ht="21">
      <c r="B3" s="17">
        <f>SUM('Sales dataset'!I2:I13)</f>
        <v>413000</v>
      </c>
      <c r="C3" s="18">
        <f>COUNTA('Sales dataset'!A2:A13)</f>
        <v>12</v>
      </c>
      <c r="D3" s="18">
        <f>SUM('Sales dataset'!G2:G13)</f>
        <v>45</v>
      </c>
      <c r="E3" s="18">
        <f>AVERAGE('Sales dataset'!I2:I13)</f>
        <v>34416.666666666664</v>
      </c>
    </row>
    <row r="4" spans="1:9">
      <c r="B4" s="2"/>
    </row>
    <row r="5" spans="1:9">
      <c r="B5" s="2"/>
    </row>
    <row r="6" spans="1:9">
      <c r="B6" s="2"/>
    </row>
    <row r="7" spans="1:9">
      <c r="B7" s="2"/>
      <c r="C7" s="21" t="s">
        <v>58</v>
      </c>
    </row>
    <row r="26" spans="2:2">
      <c r="B26" s="22" t="s">
        <v>59</v>
      </c>
    </row>
    <row r="45" spans="2:2">
      <c r="B45" s="21" t="s">
        <v>60</v>
      </c>
    </row>
    <row r="64" spans="2:2">
      <c r="B64" s="23" t="s">
        <v>61</v>
      </c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F7B475-9215-4DE5-8ADD-EA967DF2BA9D}">
  <dimension ref="A1:E3"/>
  <sheetViews>
    <sheetView workbookViewId="0">
      <selection activeCell="F2" sqref="F2"/>
    </sheetView>
  </sheetViews>
  <sheetFormatPr defaultRowHeight="15"/>
  <cols>
    <col min="1" max="4" width="19" customWidth="1"/>
    <col min="5" max="5" width="23.5703125" customWidth="1"/>
  </cols>
  <sheetData>
    <row r="1" spans="1:5">
      <c r="A1" t="s">
        <v>62</v>
      </c>
      <c r="B1" s="14" t="s">
        <v>63</v>
      </c>
      <c r="C1" s="14" t="s">
        <v>64</v>
      </c>
      <c r="D1" t="s">
        <v>65</v>
      </c>
      <c r="E1" t="s">
        <v>66</v>
      </c>
    </row>
    <row r="2" spans="1:5">
      <c r="A2" t="s">
        <v>67</v>
      </c>
      <c r="B2" s="14" t="s">
        <v>68</v>
      </c>
      <c r="C2" s="14" t="s">
        <v>69</v>
      </c>
      <c r="D2" s="16" t="s">
        <v>70</v>
      </c>
      <c r="E2" t="s">
        <v>67</v>
      </c>
    </row>
    <row r="3" spans="1:5">
      <c r="A3" s="15"/>
      <c r="B3" s="14"/>
      <c r="C3" s="14"/>
      <c r="D3" s="15"/>
      <c r="E3" s="15"/>
    </row>
  </sheetData>
  <hyperlinks>
    <hyperlink ref="D2" r:id="rId1" xr:uid="{57252FF6-0AAF-4509-BC80-07968BB9BFCA}"/>
  </hyperlinks>
  <pageMargins left="0.7" right="0.7" top="0.75" bottom="0.75" header="0.3" footer="0.3"/>
  <tableParts count="1">
    <tablePart r:id="rId2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2"/>
  <sheetViews>
    <sheetView topLeftCell="B9" workbookViewId="0">
      <selection activeCell="J18" sqref="J18"/>
    </sheetView>
  </sheetViews>
  <sheetFormatPr defaultRowHeight="15"/>
  <cols>
    <col min="1" max="1" width="11.7109375" bestFit="1" customWidth="1"/>
    <col min="2" max="2" width="12.28515625" customWidth="1"/>
    <col min="3" max="3" width="21.28515625" customWidth="1"/>
    <col min="4" max="4" width="13.5703125" customWidth="1"/>
    <col min="5" max="5" width="11.7109375" customWidth="1"/>
    <col min="6" max="6" width="9.42578125" bestFit="1" customWidth="1"/>
    <col min="7" max="7" width="27.85546875" customWidth="1"/>
    <col min="8" max="8" width="12.5703125" bestFit="1" customWidth="1"/>
    <col min="9" max="9" width="22.85546875" customWidth="1"/>
  </cols>
  <sheetData>
    <row r="1" spans="1:9">
      <c r="A1" s="1" t="s">
        <v>71</v>
      </c>
      <c r="B1" s="1" t="s">
        <v>21</v>
      </c>
      <c r="C1" s="1" t="s">
        <v>0</v>
      </c>
      <c r="D1" s="1" t="s">
        <v>12</v>
      </c>
      <c r="E1" s="1" t="s">
        <v>22</v>
      </c>
      <c r="F1" s="1" t="s">
        <v>7</v>
      </c>
      <c r="G1" s="1" t="s">
        <v>23</v>
      </c>
      <c r="H1" s="1" t="s">
        <v>24</v>
      </c>
      <c r="I1" s="1" t="s">
        <v>25</v>
      </c>
    </row>
    <row r="2" spans="1:9">
      <c r="A2" t="s">
        <v>40</v>
      </c>
      <c r="B2" s="2">
        <v>46023</v>
      </c>
      <c r="C2" t="s">
        <v>2</v>
      </c>
      <c r="D2" t="s">
        <v>15</v>
      </c>
      <c r="E2" t="s">
        <v>41</v>
      </c>
      <c r="F2" t="s">
        <v>10</v>
      </c>
      <c r="G2">
        <v>2</v>
      </c>
      <c r="H2">
        <v>55000</v>
      </c>
      <c r="I2">
        <v>110000</v>
      </c>
    </row>
    <row r="3" spans="1:9">
      <c r="A3" t="s">
        <v>48</v>
      </c>
      <c r="B3" s="2">
        <v>46082</v>
      </c>
      <c r="C3" t="s">
        <v>5</v>
      </c>
      <c r="D3" t="s">
        <v>17</v>
      </c>
      <c r="E3" t="s">
        <v>34</v>
      </c>
      <c r="F3" t="s">
        <v>9</v>
      </c>
      <c r="G3">
        <v>5</v>
      </c>
      <c r="H3">
        <v>800</v>
      </c>
      <c r="I3">
        <v>4000</v>
      </c>
    </row>
    <row r="4" spans="1:9">
      <c r="A4" t="s">
        <v>37</v>
      </c>
      <c r="B4" s="2">
        <v>46143</v>
      </c>
      <c r="C4" t="s">
        <v>4</v>
      </c>
      <c r="D4" t="s">
        <v>14</v>
      </c>
      <c r="E4" t="s">
        <v>34</v>
      </c>
      <c r="F4" t="s">
        <v>8</v>
      </c>
      <c r="G4">
        <v>3</v>
      </c>
      <c r="H4">
        <v>1500</v>
      </c>
      <c r="I4">
        <v>4500</v>
      </c>
    </row>
    <row r="5" spans="1:9">
      <c r="A5" t="s">
        <v>45</v>
      </c>
      <c r="B5" s="2">
        <v>46235</v>
      </c>
      <c r="C5" t="s">
        <v>3</v>
      </c>
      <c r="D5" t="s">
        <v>16</v>
      </c>
      <c r="E5" t="s">
        <v>41</v>
      </c>
      <c r="F5" t="s">
        <v>11</v>
      </c>
      <c r="G5">
        <v>2</v>
      </c>
      <c r="H5">
        <v>12000</v>
      </c>
      <c r="I5">
        <v>24000</v>
      </c>
    </row>
    <row r="6" spans="1:9">
      <c r="A6" t="s">
        <v>42</v>
      </c>
      <c r="B6" s="2">
        <v>46296</v>
      </c>
      <c r="C6" t="s">
        <v>2</v>
      </c>
      <c r="D6" t="s">
        <v>15</v>
      </c>
      <c r="E6" t="s">
        <v>41</v>
      </c>
      <c r="F6" t="s">
        <v>10</v>
      </c>
      <c r="G6">
        <v>1</v>
      </c>
      <c r="H6">
        <v>55000</v>
      </c>
      <c r="I6">
        <v>55000</v>
      </c>
    </row>
    <row r="7" spans="1:9">
      <c r="A7" t="s">
        <v>33</v>
      </c>
      <c r="B7" s="2">
        <v>46357</v>
      </c>
      <c r="C7" t="s">
        <v>5</v>
      </c>
      <c r="D7" t="s">
        <v>13</v>
      </c>
      <c r="E7" t="s">
        <v>34</v>
      </c>
      <c r="F7" t="s">
        <v>9</v>
      </c>
      <c r="G7">
        <v>4</v>
      </c>
      <c r="H7">
        <v>2500</v>
      </c>
      <c r="I7">
        <v>10000</v>
      </c>
    </row>
    <row r="8" spans="1:9">
      <c r="A8" t="s">
        <v>51</v>
      </c>
      <c r="B8" t="s">
        <v>52</v>
      </c>
      <c r="C8" t="s">
        <v>4</v>
      </c>
      <c r="D8" t="s">
        <v>18</v>
      </c>
      <c r="E8" t="s">
        <v>41</v>
      </c>
      <c r="F8" t="s">
        <v>8</v>
      </c>
      <c r="G8">
        <v>2</v>
      </c>
      <c r="H8">
        <v>15000</v>
      </c>
      <c r="I8">
        <v>30000</v>
      </c>
    </row>
    <row r="9" spans="1:9">
      <c r="A9" t="s">
        <v>49</v>
      </c>
      <c r="B9" t="s">
        <v>50</v>
      </c>
      <c r="C9" t="s">
        <v>3</v>
      </c>
      <c r="D9" t="s">
        <v>17</v>
      </c>
      <c r="E9" t="s">
        <v>34</v>
      </c>
      <c r="F9" t="s">
        <v>11</v>
      </c>
      <c r="G9">
        <v>10</v>
      </c>
      <c r="H9">
        <v>800</v>
      </c>
      <c r="I9">
        <v>8000</v>
      </c>
    </row>
    <row r="10" spans="1:9">
      <c r="A10" t="s">
        <v>38</v>
      </c>
      <c r="B10" t="s">
        <v>39</v>
      </c>
      <c r="C10" t="s">
        <v>2</v>
      </c>
      <c r="D10" t="s">
        <v>14</v>
      </c>
      <c r="E10" t="s">
        <v>34</v>
      </c>
      <c r="F10" t="s">
        <v>10</v>
      </c>
      <c r="G10">
        <v>6</v>
      </c>
      <c r="H10">
        <v>1500</v>
      </c>
      <c r="I10">
        <v>9000</v>
      </c>
    </row>
    <row r="11" spans="1:9">
      <c r="A11" t="s">
        <v>46</v>
      </c>
      <c r="B11" t="s">
        <v>47</v>
      </c>
      <c r="C11" t="s">
        <v>5</v>
      </c>
      <c r="D11" t="s">
        <v>16</v>
      </c>
      <c r="E11" t="s">
        <v>41</v>
      </c>
      <c r="F11" t="s">
        <v>9</v>
      </c>
      <c r="G11">
        <v>3</v>
      </c>
      <c r="H11">
        <v>12000</v>
      </c>
      <c r="I11">
        <v>36000</v>
      </c>
    </row>
    <row r="12" spans="1:9">
      <c r="A12" t="s">
        <v>43</v>
      </c>
      <c r="B12" t="s">
        <v>44</v>
      </c>
      <c r="C12" t="s">
        <v>4</v>
      </c>
      <c r="D12" t="s">
        <v>15</v>
      </c>
      <c r="E12" t="s">
        <v>41</v>
      </c>
      <c r="F12" t="s">
        <v>8</v>
      </c>
      <c r="G12">
        <v>2</v>
      </c>
      <c r="H12">
        <v>55000</v>
      </c>
      <c r="I12">
        <v>110000</v>
      </c>
    </row>
    <row r="13" spans="1:9">
      <c r="A13" t="s">
        <v>35</v>
      </c>
      <c r="B13" t="s">
        <v>36</v>
      </c>
      <c r="C13" t="s">
        <v>3</v>
      </c>
      <c r="D13" t="s">
        <v>13</v>
      </c>
      <c r="E13" t="s">
        <v>34</v>
      </c>
      <c r="F13" t="s">
        <v>11</v>
      </c>
      <c r="G13">
        <v>5</v>
      </c>
      <c r="H13">
        <v>2500</v>
      </c>
      <c r="I13">
        <v>12500</v>
      </c>
    </row>
    <row r="14" spans="1:9" ht="21">
      <c r="A14" s="6">
        <f>COUNTA(Table1[Order ID])</f>
        <v>12</v>
      </c>
      <c r="G14" s="6">
        <f>SUM(Table1[Quantity])</f>
        <v>45</v>
      </c>
      <c r="I14" s="6">
        <f>SUM(Table1[Total_Sales])</f>
        <v>413000</v>
      </c>
    </row>
    <row r="17" spans="3:9" ht="21">
      <c r="C17" s="9" t="s">
        <v>72</v>
      </c>
      <c r="G17" s="9" t="s">
        <v>73</v>
      </c>
      <c r="I17" s="5">
        <f>AVERAGE(Table1[Total_Sales])</f>
        <v>34416.666666666664</v>
      </c>
    </row>
    <row r="18" spans="3:9" ht="26.25">
      <c r="C18" s="10">
        <f>COUNTA(A2:A13)</f>
        <v>12</v>
      </c>
      <c r="G18" s="11">
        <f>SUM(I2:I13)</f>
        <v>413000</v>
      </c>
    </row>
    <row r="19" spans="3:9" ht="24">
      <c r="G19" s="7"/>
    </row>
    <row r="21" spans="3:9" ht="21">
      <c r="C21" s="12" t="s">
        <v>74</v>
      </c>
      <c r="G21" s="13" t="s">
        <v>75</v>
      </c>
    </row>
    <row r="22" spans="3:9" ht="26.25">
      <c r="C22" s="8">
        <f>SUM(G2:G13)</f>
        <v>45</v>
      </c>
      <c r="G22" s="8">
        <f>AVERAGE(I2:I13)</f>
        <v>34416.666666666664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Ranjini M[Online Education]</cp:lastModifiedBy>
  <cp:revision/>
  <dcterms:created xsi:type="dcterms:W3CDTF">2026-08-18T11:17:27Z</dcterms:created>
  <dcterms:modified xsi:type="dcterms:W3CDTF">2026-08-26T05:51:36Z</dcterms:modified>
  <cp:category/>
  <cp:contentStatus/>
</cp:coreProperties>
</file>